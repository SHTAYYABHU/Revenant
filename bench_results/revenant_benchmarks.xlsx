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out" sheetId="1" state="visible" r:id="rId3"/>
    <sheet name="Summary" sheetId="2" state="visible" r:id="rId4"/>
    <sheet name="Per Image" sheetId="3" state="visible" r:id="rId5"/>
    <sheet name="Calibration" sheetId="4" state="visible" r:id="rId6"/>
    <sheet name="Contribution" sheetId="5" state="visible" r:id="rId7"/>
    <sheet name="Performanc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<sst xmlns="http://schemas.openxmlformats.org/spreadsheetml/2006/main" count="274" uniqueCount="164">
  <si>
    <t xml:space="preserve">Revenant Benchmark Results</t>
  </si>
  <si>
    <t xml:space="preserve">What this workbook holds</t>
  </si>
  <si>
    <t xml:space="preserve">Every number behind the Revenant recovery evaluation. The measured counts are values, and every rate is a live formula over those counts, so the sheets recalculate if a count is corrected.</t>
  </si>
  <si>
    <t xml:space="preserve">Where the data comes from</t>
  </si>
  <si>
    <t xml:space="preserve">Fifty controlled flash images built by the project's own workload generator, with an exact record of every file written, changed and deleted. Forty LittleFS images were produced through littlefs-python, the binding to the reference C implementation, at ten random seeds for each of four later write levels (0, 50, 200 and 800 operations). Ten JFFS2 images were written as specification conformant node logs with the kernel CRC convention and no garbage collection. Four small demo images from the samples folder are scored alongside them.</t>
  </si>
  <si>
    <t xml:space="preserve">How recovery is scored</t>
  </si>
  <si>
    <t xml:space="preserve">Every file version starts with a unique token. A version counts as having survived when its token is still present in the raw image, and as recovered when its token appears in an item Revenant returned of the matching kind. Recovery is always reported as a share of what survived, so the tool is never charged for data the flash itself erased.</t>
  </si>
  <si>
    <t xml:space="preserve">How to regenerate every figure here</t>
  </si>
  <si>
    <t xml:space="preserve">python tools/run_benchmark.py --keep-images --samples</t>
  </si>
  <si>
    <t xml:space="preserve">The run is deterministic because the workloads are seeded, so the same command reproduces the same numbers on any machine.</t>
  </si>
  <si>
    <t xml:space="preserve">Sheets</t>
  </si>
  <si>
    <t xml:space="preserve">Summary          pooled rates per suite and later write level, the headline results</t>
  </si>
  <si>
    <t xml:space="preserve">Per Image        one row per image with the raw counts, the source data for everything else</t>
  </si>
  <si>
    <t xml:space="preserve">Calibration      byte exact recovery by confidence label</t>
  </si>
  <si>
    <t xml:space="preserve">Contribution     remnants recovered by a conventional extractor and by Revenant</t>
  </si>
  <si>
    <t xml:space="preserve">Performance      scan timings measured on the build machine</t>
  </si>
  <si>
    <t xml:space="preserve">Source: bench_results/results.csv and bench_results/summary.json in this repository.</t>
  </si>
  <si>
    <t xml:space="preserve">Suite</t>
  </si>
  <si>
    <t xml:space="preserve">Later Writes</t>
  </si>
  <si>
    <t xml:space="preserve">Images</t>
  </si>
  <si>
    <t xml:space="preserve">Remnant Versions</t>
  </si>
  <si>
    <t xml:space="preserve">Survived</t>
  </si>
  <si>
    <t xml:space="preserve">Found</t>
  </si>
  <si>
    <t xml:space="preserve">Correct State</t>
  </si>
  <si>
    <t xml:space="preserve">Byte Exact</t>
  </si>
  <si>
    <t xml:space="preserve">Path Recovered</t>
  </si>
  <si>
    <t xml:space="preserve">Path Correct</t>
  </si>
  <si>
    <t xml:space="preserve">Baseline Found</t>
  </si>
  <si>
    <t xml:space="preserve">Unattributed</t>
  </si>
  <si>
    <t xml:space="preserve">Still On Flash</t>
  </si>
  <si>
    <t xml:space="preserve">Recall Of Surviving</t>
  </si>
  <si>
    <t xml:space="preserve">Correct State Rate</t>
  </si>
  <si>
    <t xml:space="preserve">Byte Exact Rate</t>
  </si>
  <si>
    <t xml:space="preserve">Path Correct Of Found</t>
  </si>
  <si>
    <t xml:space="preserve">Path Correct Where Named</t>
  </si>
  <si>
    <t xml:space="preserve">Baseline Recall</t>
  </si>
  <si>
    <t xml:space="preserve">JFFS2 synthetic</t>
  </si>
  <si>
    <t xml:space="preserve">LittleFS</t>
  </si>
  <si>
    <t xml:space="preserve">Demo images</t>
  </si>
  <si>
    <t xml:space="preserve">Columns D to L are measured counts pooled over the images in that row. Columns M to S are the rates exactly as the benchmark reports them in summary.md, to one decimal, so this sheet matches the published tables. Recompute them from the counts if you want more precision.</t>
  </si>
  <si>
    <t xml:space="preserve">Deleted and superseded versions only. Live files are excluded from these rows and were recovered completely in every suite.</t>
  </si>
  <si>
    <t xml:space="preserve">Image</t>
  </si>
  <si>
    <t xml:space="preserve">Filesystem</t>
  </si>
  <si>
    <t xml:space="preserve">Seed</t>
  </si>
  <si>
    <t xml:space="preserve">Churn</t>
  </si>
  <si>
    <t xml:space="preserve">Artifacts</t>
  </si>
  <si>
    <t xml:space="preserve">Scan Ms</t>
  </si>
  <si>
    <t xml:space="preserve">Deleted Total</t>
  </si>
  <si>
    <t xml:space="preserve">Deleted Survived</t>
  </si>
  <si>
    <t xml:space="preserve">Deleted Found</t>
  </si>
  <si>
    <t xml:space="preserve">Deleted Labelled</t>
  </si>
  <si>
    <t xml:space="preserve">Deleted Exact</t>
  </si>
  <si>
    <t xml:space="preserve">Deleted Baseline</t>
  </si>
  <si>
    <t xml:space="preserve">Deleted Path Seen</t>
  </si>
  <si>
    <t xml:space="preserve">Deleted Path Ok</t>
  </si>
  <si>
    <t xml:space="preserve">Obsolete Total</t>
  </si>
  <si>
    <t xml:space="preserve">Obsolete Survived</t>
  </si>
  <si>
    <t xml:space="preserve">Obsolete Found</t>
  </si>
  <si>
    <t xml:space="preserve">Obsolete Labelled</t>
  </si>
  <si>
    <t xml:space="preserve">Obsolete Exact</t>
  </si>
  <si>
    <t xml:space="preserve">Obsolete Baseline</t>
  </si>
  <si>
    <t xml:space="preserve">Obsolete Path Seen</t>
  </si>
  <si>
    <t xml:space="preserve">Obsolete Path Ok</t>
  </si>
  <si>
    <t xml:space="preserve">Live Total</t>
  </si>
  <si>
    <t xml:space="preserve">Live Survived</t>
  </si>
  <si>
    <t xml:space="preserve">Live Found</t>
  </si>
  <si>
    <t xml:space="preserve">Live Labelled</t>
  </si>
  <si>
    <t xml:space="preserve">Live Exact</t>
  </si>
  <si>
    <t xml:space="preserve">Live Baseline</t>
  </si>
  <si>
    <t xml:space="preserve">Live Path Seen</t>
  </si>
  <si>
    <t xml:space="preserve">Live Path Ok</t>
  </si>
  <si>
    <t xml:space="preserve">Main Total</t>
  </si>
  <si>
    <t xml:space="preserve">Main Survived</t>
  </si>
  <si>
    <t xml:space="preserve">Main Found</t>
  </si>
  <si>
    <t xml:space="preserve">Main Baseline</t>
  </si>
  <si>
    <t xml:space="preserve">littlefs</t>
  </si>
  <si>
    <t xml:space="preserve">littlefs_s0_c0.img</t>
  </si>
  <si>
    <t xml:space="preserve">littlefs_s1_c0.img</t>
  </si>
  <si>
    <t xml:space="preserve">littlefs_s2_c0.img</t>
  </si>
  <si>
    <t xml:space="preserve">littlefs_s3_c0.img</t>
  </si>
  <si>
    <t xml:space="preserve">littlefs_s4_c0.img</t>
  </si>
  <si>
    <t xml:space="preserve">littlefs_s5_c0.img</t>
  </si>
  <si>
    <t xml:space="preserve">littlefs_s6_c0.img</t>
  </si>
  <si>
    <t xml:space="preserve">littlefs_s7_c0.img</t>
  </si>
  <si>
    <t xml:space="preserve">littlefs_s8_c0.img</t>
  </si>
  <si>
    <t xml:space="preserve">littlefs_s9_c0.img</t>
  </si>
  <si>
    <t xml:space="preserve">littlefs_s0_c50.img</t>
  </si>
  <si>
    <t xml:space="preserve">littlefs_s1_c50.img</t>
  </si>
  <si>
    <t xml:space="preserve">littlefs_s2_c50.img</t>
  </si>
  <si>
    <t xml:space="preserve">littlefs_s3_c50.img</t>
  </si>
  <si>
    <t xml:space="preserve">littlefs_s4_c50.img</t>
  </si>
  <si>
    <t xml:space="preserve">littlefs_s5_c50.img</t>
  </si>
  <si>
    <t xml:space="preserve">littlefs_s6_c50.img</t>
  </si>
  <si>
    <t xml:space="preserve">littlefs_s7_c50.img</t>
  </si>
  <si>
    <t xml:space="preserve">littlefs_s8_c50.img</t>
  </si>
  <si>
    <t xml:space="preserve">littlefs_s9_c50.img</t>
  </si>
  <si>
    <t xml:space="preserve">littlefs_s0_c200.img</t>
  </si>
  <si>
    <t xml:space="preserve">littlefs_s1_c200.img</t>
  </si>
  <si>
    <t xml:space="preserve">littlefs_s2_c200.img</t>
  </si>
  <si>
    <t xml:space="preserve">littlefs_s3_c200.img</t>
  </si>
  <si>
    <t xml:space="preserve">littlefs_s4_c200.img</t>
  </si>
  <si>
    <t xml:space="preserve">littlefs_s5_c200.img</t>
  </si>
  <si>
    <t xml:space="preserve">littlefs_s6_c200.img</t>
  </si>
  <si>
    <t xml:space="preserve">littlefs_s7_c200.img</t>
  </si>
  <si>
    <t xml:space="preserve">littlefs_s8_c200.img</t>
  </si>
  <si>
    <t xml:space="preserve">littlefs_s9_c200.img</t>
  </si>
  <si>
    <t xml:space="preserve">littlefs_s0_c800.img</t>
  </si>
  <si>
    <t xml:space="preserve">littlefs_s1_c800.img</t>
  </si>
  <si>
    <t xml:space="preserve">littlefs_s2_c800.img</t>
  </si>
  <si>
    <t xml:space="preserve">littlefs_s3_c800.img</t>
  </si>
  <si>
    <t xml:space="preserve">littlefs_s4_c800.img</t>
  </si>
  <si>
    <t xml:space="preserve">littlefs_s5_c800.img</t>
  </si>
  <si>
    <t xml:space="preserve">littlefs_s6_c800.img</t>
  </si>
  <si>
    <t xml:space="preserve">littlefs_s7_c800.img</t>
  </si>
  <si>
    <t xml:space="preserve">littlefs_s8_c800.img</t>
  </si>
  <si>
    <t xml:space="preserve">littlefs_s9_c800.img</t>
  </si>
  <si>
    <t xml:space="preserve">jffs2</t>
  </si>
  <si>
    <t xml:space="preserve">jffs2_s0.img</t>
  </si>
  <si>
    <t xml:space="preserve">jffs2_s1.img</t>
  </si>
  <si>
    <t xml:space="preserve">jffs2_s2.img</t>
  </si>
  <si>
    <t xml:space="preserve">jffs2_s3.img</t>
  </si>
  <si>
    <t xml:space="preserve">jffs2_s4.img</t>
  </si>
  <si>
    <t xml:space="preserve">jffs2_s5.img</t>
  </si>
  <si>
    <t xml:space="preserve">jffs2_s6.img</t>
  </si>
  <si>
    <t xml:space="preserve">jffs2_s7.img</t>
  </si>
  <si>
    <t xml:space="preserve">jffs2_s8.img</t>
  </si>
  <si>
    <t xml:space="preserve">jffs2_s9.img</t>
  </si>
  <si>
    <t xml:space="preserve">samples</t>
  </si>
  <si>
    <t xml:space="preserve">jffs2_demo.img</t>
  </si>
  <si>
    <t xml:space="preserve">littlefs_demo.img</t>
  </si>
  <si>
    <t xml:space="preserve">spiffs_demo.img</t>
  </si>
  <si>
    <t xml:space="preserve">spiffs</t>
  </si>
  <si>
    <t xml:space="preserve">ubifs_demo.img</t>
  </si>
  <si>
    <t xml:space="preserve">ubifs</t>
  </si>
  <si>
    <t xml:space="preserve">Confidence Label</t>
  </si>
  <si>
    <t xml:space="preserve">Items</t>
  </si>
  <si>
    <t xml:space="preserve">Exact Rate</t>
  </si>
  <si>
    <t xml:space="preserve">High</t>
  </si>
  <si>
    <t xml:space="preserve">Medium</t>
  </si>
  <si>
    <t xml:space="preserve">Low</t>
  </si>
  <si>
    <t xml:space="preserve">Total</t>
  </si>
  <si>
    <t xml:space="preserve">Pooled over 30 LittleFS images at 0, 200 and 800 later writes. Counts every filesystem carver remnant that carries a known token.</t>
  </si>
  <si>
    <t xml:space="preserve">Remnants Still On Flash</t>
  </si>
  <si>
    <t xml:space="preserve">Recovered By Conventional Extractor</t>
  </si>
  <si>
    <t xml:space="preserve">Recovered By Revenant</t>
  </si>
  <si>
    <t xml:space="preserve">Contribution</t>
  </si>
  <si>
    <t xml:space="preserve">The conventional extractor column is the live tree read from each image with the reference implementation, which is all binwalk with jefferson or ubi_reader returns.</t>
  </si>
  <si>
    <t xml:space="preserve">Measurement</t>
  </si>
  <si>
    <t xml:space="preserve">Value</t>
  </si>
  <si>
    <t xml:space="preserve">Median scan of a 512 KiB LittleFS image</t>
  </si>
  <si>
    <t xml:space="preserve">about 13 ms</t>
  </si>
  <si>
    <t xml:space="preserve">Median scan of a synthetic JFFS2 node log</t>
  </si>
  <si>
    <t xml:space="preserve">about 4 ms</t>
  </si>
  <si>
    <t xml:space="preserve">Throughput on a 16 MiB image</t>
  </si>
  <si>
    <t xml:space="preserve">about 48 MiB per second</t>
  </si>
  <si>
    <t xml:space="preserve">Throughput on a 64 MiB image</t>
  </si>
  <si>
    <t xml:space="preserve">about 49 MiB per second</t>
  </si>
  <si>
    <t xml:space="preserve">Throughput on a 256 MiB image</t>
  </si>
  <si>
    <t xml:space="preserve">about 46 MiB per second, near 5.6 seconds</t>
  </si>
  <si>
    <t xml:space="preserve">Full benchmark run, fifty four images</t>
  </si>
  <si>
    <t xml:space="preserve">about 11 seconds</t>
  </si>
  <si>
    <t xml:space="preserve">Test suite, fifty two tests</t>
  </si>
  <si>
    <t xml:space="preserve">about 6 seconds</t>
  </si>
  <si>
    <t xml:space="preserve">Scan timings vary with hardware, so the committed summary.md may show slightly different milliseconds for the run that produced this folder. Measured on the machine that built this release. Throughput figures embed a real LittleFS image in random filler, which is the worst case for the signature scan, so a structured flash image usually runs faster.</t>
  </si>
</sst>
</file>

<file path=xl/styles.xml><?xml version="1.0" encoding="utf-8"?>
<styleSheet xmlns="http://schemas.openxmlformats.org/spreadsheetml/2006/main">
  <numFmts count="3">
    <numFmt numFmtId="164" formatCode="General"/>
    <numFmt numFmtId="165" formatCode="0.0%"/>
    <numFmt numFmtId="166"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0E2A47"/>
      <name val="Arial"/>
      <family val="0"/>
      <charset val="1"/>
    </font>
    <font>
      <sz val="10"/>
      <name val="Arial"/>
      <family val="0"/>
      <charset val="1"/>
    </font>
    <font>
      <b val="true"/>
      <sz val="10"/>
      <name val="Arial"/>
      <family val="0"/>
      <charset val="1"/>
    </font>
    <font>
      <sz val="10"/>
      <name val="Courier New"/>
      <family val="0"/>
      <charset val="1"/>
    </font>
    <font>
      <i val="true"/>
      <sz val="9"/>
      <color rgb="FF5A6B7B"/>
      <name val="Arial"/>
      <family val="0"/>
      <charset val="1"/>
    </font>
    <font>
      <b val="true"/>
      <sz val="10"/>
      <color rgb="FFFFFFFF"/>
      <name val="Arial"/>
      <family val="0"/>
      <charset val="1"/>
    </font>
  </fonts>
  <fills count="3">
    <fill>
      <patternFill patternType="none"/>
    </fill>
    <fill>
      <patternFill patternType="gray125"/>
    </fill>
    <fill>
      <patternFill patternType="solid">
        <fgColor rgb="FF0E2A47"/>
        <bgColor rgb="FF333333"/>
      </patternFill>
    </fill>
  </fills>
  <borders count="2">
    <border diagonalUp="false" diagonalDown="false">
      <left/>
      <right/>
      <top/>
      <bottom/>
      <diagonal/>
    </border>
    <border diagonalUp="false" diagonalDown="false">
      <left style="thin">
        <color rgb="FFC9D6E3"/>
      </left>
      <right style="thin">
        <color rgb="FFC9D6E3"/>
      </right>
      <top style="thin">
        <color rgb="FFC9D6E3"/>
      </top>
      <bottom style="thin">
        <color rgb="FFC9D6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6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B7B"/>
      <rgbColor rgb="FF969696"/>
      <rgbColor rgb="FF0E2A47"/>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2"/>
  </cols>
  <sheetData>
    <row r="1" customFormat="false" ht="16.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46.25" hidden="false" customHeight="false" outlineLevel="0" collapsed="false">
      <c r="A7" s="2" t="s">
        <v>4</v>
      </c>
    </row>
    <row r="8" customFormat="false" ht="15" hidden="false" customHeight="false" outlineLevel="0" collapsed="false">
      <c r="A8" s="2"/>
    </row>
    <row r="9" customFormat="false" ht="15" hidden="false" customHeight="false" outlineLevel="0" collapsed="false">
      <c r="A9" s="3" t="s">
        <v>5</v>
      </c>
    </row>
    <row r="10" customFormat="false" ht="35.05" hidden="false" customHeight="false" outlineLevel="0" collapsed="false">
      <c r="A10" s="2" t="s">
        <v>6</v>
      </c>
    </row>
    <row r="11" customFormat="false" ht="15" hidden="false" customHeight="false" outlineLevel="0" collapsed="false">
      <c r="A11" s="2"/>
    </row>
    <row r="12" customFormat="false" ht="15" hidden="false" customHeight="false" outlineLevel="0" collapsed="false">
      <c r="A12" s="3" t="s">
        <v>7</v>
      </c>
    </row>
    <row r="13" customFormat="false" ht="15" hidden="false" customHeight="false" outlineLevel="0" collapsed="false">
      <c r="A13" s="4" t="s">
        <v>8</v>
      </c>
    </row>
    <row r="14" customFormat="false" ht="15" hidden="false" customHeight="false" outlineLevel="0" collapsed="false">
      <c r="A14" s="2" t="s">
        <v>9</v>
      </c>
    </row>
    <row r="15" customFormat="false" ht="15" hidden="false" customHeight="false" outlineLevel="0" collapsed="false">
      <c r="A15" s="2"/>
    </row>
    <row r="16" customFormat="false" ht="15" hidden="false" customHeight="false" outlineLevel="0" collapsed="false">
      <c r="A16" s="3" t="s">
        <v>10</v>
      </c>
    </row>
    <row r="17" customFormat="false" ht="15" hidden="false" customHeight="false" outlineLevel="0" collapsed="false">
      <c r="A17" s="2" t="s">
        <v>11</v>
      </c>
    </row>
    <row r="18" customFormat="false" ht="15" hidden="false" customHeight="false" outlineLevel="0" collapsed="false">
      <c r="A18" s="2" t="s">
        <v>12</v>
      </c>
    </row>
    <row r="19" customFormat="false" ht="15" hidden="false" customHeight="false" outlineLevel="0" collapsed="false">
      <c r="A19" s="2" t="s">
        <v>13</v>
      </c>
    </row>
    <row r="20" customFormat="false" ht="15" hidden="false" customHeight="false" outlineLevel="0" collapsed="false">
      <c r="A20" s="2" t="s">
        <v>14</v>
      </c>
    </row>
    <row r="21" customFormat="false" ht="15" hidden="false" customHeight="false" outlineLevel="0" collapsed="false">
      <c r="A21" s="2" t="s">
        <v>15</v>
      </c>
    </row>
    <row r="22" customFormat="false" ht="15" hidden="false" customHeight="false" outlineLevel="0" collapsed="false">
      <c r="A22" s="2"/>
    </row>
    <row r="23" customFormat="false" ht="15" hidden="false" customHeight="false" outlineLevel="0" collapsed="false">
      <c r="A23" s="5"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
    <col collapsed="false" customWidth="true" hidden="false" outlineLevel="0" max="3" min="3" style="0" width="8"/>
    <col collapsed="false" customWidth="true" hidden="false" outlineLevel="0" max="4" min="4" style="0" width="12"/>
    <col collapsed="false" customWidth="true" hidden="false" outlineLevel="0" max="5" min="5" style="0" width="10"/>
    <col collapsed="false" customWidth="true" hidden="false" outlineLevel="0" max="6" min="6" style="0" width="9"/>
    <col collapsed="false" customWidth="true" hidden="false" outlineLevel="0" max="8" min="7" style="0" width="10"/>
    <col collapsed="false" customWidth="true" hidden="false" outlineLevel="0" max="9" min="9" style="0" width="11"/>
    <col collapsed="false" customWidth="true" hidden="false" outlineLevel="0" max="10" min="10" style="0" width="10"/>
    <col collapsed="false" customWidth="true" hidden="false" outlineLevel="0" max="13" min="11" style="0" width="11"/>
    <col collapsed="false" customWidth="true" hidden="false" outlineLevel="0" max="15" min="14" style="0" width="12"/>
    <col collapsed="false" customWidth="true" hidden="false" outlineLevel="0" max="16" min="16" style="0" width="11"/>
    <col collapsed="false" customWidth="true" hidden="false" outlineLevel="0" max="17" min="17" style="0" width="13"/>
    <col collapsed="false" customWidth="true" hidden="false" outlineLevel="0" max="18" min="18" style="0" width="14"/>
    <col collapsed="false" customWidth="true" hidden="false" outlineLevel="0" max="19" min="19" style="0" width="11"/>
  </cols>
  <sheetData>
    <row r="1" customFormat="false" ht="23.85" hidden="false" customHeight="false" outlineLevel="0" collapsed="false">
      <c r="A1" s="6" t="s">
        <v>17</v>
      </c>
      <c r="B1" s="6" t="s">
        <v>18</v>
      </c>
      <c r="C1" s="6" t="s">
        <v>19</v>
      </c>
      <c r="D1" s="6" t="s">
        <v>20</v>
      </c>
      <c r="E1" s="6" t="s">
        <v>21</v>
      </c>
      <c r="F1" s="6" t="s">
        <v>22</v>
      </c>
      <c r="G1" s="6" t="s">
        <v>23</v>
      </c>
      <c r="H1" s="6" t="s">
        <v>24</v>
      </c>
      <c r="I1" s="6" t="s">
        <v>25</v>
      </c>
      <c r="J1" s="6" t="s">
        <v>26</v>
      </c>
      <c r="K1" s="6" t="s">
        <v>27</v>
      </c>
      <c r="L1" s="6" t="s">
        <v>28</v>
      </c>
      <c r="M1" s="6" t="s">
        <v>29</v>
      </c>
      <c r="N1" s="6" t="s">
        <v>30</v>
      </c>
      <c r="O1" s="6" t="s">
        <v>31</v>
      </c>
      <c r="P1" s="6" t="s">
        <v>32</v>
      </c>
      <c r="Q1" s="6" t="s">
        <v>33</v>
      </c>
      <c r="R1" s="6" t="s">
        <v>34</v>
      </c>
      <c r="S1" s="6" t="s">
        <v>35</v>
      </c>
    </row>
    <row r="2" customFormat="false" ht="15" hidden="false" customHeight="false" outlineLevel="0" collapsed="false">
      <c r="A2" s="7" t="s">
        <v>36</v>
      </c>
      <c r="B2" s="8" t="n">
        <v>0</v>
      </c>
      <c r="C2" s="8" t="n">
        <v>10</v>
      </c>
      <c r="D2" s="8" t="n">
        <v>317</v>
      </c>
      <c r="E2" s="8" t="n">
        <v>317</v>
      </c>
      <c r="F2" s="8" t="n">
        <v>317</v>
      </c>
      <c r="G2" s="8" t="n">
        <v>317</v>
      </c>
      <c r="H2" s="8" t="n">
        <v>317</v>
      </c>
      <c r="I2" s="8" t="n">
        <v>317</v>
      </c>
      <c r="J2" s="8" t="n">
        <v>317</v>
      </c>
      <c r="K2" s="8" t="n">
        <v>0</v>
      </c>
      <c r="L2" s="8" t="n">
        <v>0</v>
      </c>
      <c r="M2" s="9" t="n">
        <v>1</v>
      </c>
      <c r="N2" s="9" t="n">
        <v>1</v>
      </c>
      <c r="O2" s="9" t="n">
        <v>1</v>
      </c>
      <c r="P2" s="9" t="n">
        <v>1</v>
      </c>
      <c r="Q2" s="9" t="n">
        <v>1</v>
      </c>
      <c r="R2" s="9" t="n">
        <v>1</v>
      </c>
      <c r="S2" s="9" t="n">
        <v>0</v>
      </c>
    </row>
    <row r="3" customFormat="false" ht="15" hidden="false" customHeight="false" outlineLevel="0" collapsed="false">
      <c r="A3" s="7" t="s">
        <v>37</v>
      </c>
      <c r="B3" s="8" t="n">
        <v>0</v>
      </c>
      <c r="C3" s="8" t="n">
        <v>10</v>
      </c>
      <c r="D3" s="8" t="n">
        <v>350</v>
      </c>
      <c r="E3" s="8" t="n">
        <v>350</v>
      </c>
      <c r="F3" s="8" t="n">
        <v>350</v>
      </c>
      <c r="G3" s="8" t="n">
        <v>350</v>
      </c>
      <c r="H3" s="8" t="n">
        <v>350</v>
      </c>
      <c r="I3" s="8" t="n">
        <v>350</v>
      </c>
      <c r="J3" s="8" t="n">
        <v>350</v>
      </c>
      <c r="K3" s="8" t="n">
        <v>0</v>
      </c>
      <c r="L3" s="8" t="n">
        <v>0</v>
      </c>
      <c r="M3" s="9" t="n">
        <v>1</v>
      </c>
      <c r="N3" s="9" t="n">
        <v>1</v>
      </c>
      <c r="O3" s="9" t="n">
        <v>1</v>
      </c>
      <c r="P3" s="9" t="n">
        <v>1</v>
      </c>
      <c r="Q3" s="9" t="n">
        <v>1</v>
      </c>
      <c r="R3" s="9" t="n">
        <v>1</v>
      </c>
      <c r="S3" s="9" t="n">
        <v>0</v>
      </c>
    </row>
    <row r="4" customFormat="false" ht="15" hidden="false" customHeight="false" outlineLevel="0" collapsed="false">
      <c r="A4" s="7" t="s">
        <v>37</v>
      </c>
      <c r="B4" s="8" t="n">
        <v>50</v>
      </c>
      <c r="C4" s="8" t="n">
        <v>10</v>
      </c>
      <c r="D4" s="8" t="n">
        <v>629</v>
      </c>
      <c r="E4" s="8" t="n">
        <v>617</v>
      </c>
      <c r="F4" s="8" t="n">
        <v>617</v>
      </c>
      <c r="G4" s="8" t="n">
        <v>599</v>
      </c>
      <c r="H4" s="8" t="n">
        <v>617</v>
      </c>
      <c r="I4" s="8" t="n">
        <v>607</v>
      </c>
      <c r="J4" s="8" t="n">
        <v>607</v>
      </c>
      <c r="K4" s="8" t="n">
        <v>0</v>
      </c>
      <c r="L4" s="8" t="n">
        <v>0</v>
      </c>
      <c r="M4" s="9" t="n">
        <v>0.981</v>
      </c>
      <c r="N4" s="9" t="n">
        <v>1</v>
      </c>
      <c r="O4" s="9" t="n">
        <v>0.971</v>
      </c>
      <c r="P4" s="9" t="n">
        <v>1</v>
      </c>
      <c r="Q4" s="9" t="n">
        <v>0.984</v>
      </c>
      <c r="R4" s="9" t="n">
        <v>1</v>
      </c>
      <c r="S4" s="9" t="n">
        <v>0</v>
      </c>
    </row>
    <row r="5" customFormat="false" ht="15" hidden="false" customHeight="false" outlineLevel="0" collapsed="false">
      <c r="A5" s="7" t="s">
        <v>37</v>
      </c>
      <c r="B5" s="8" t="n">
        <v>200</v>
      </c>
      <c r="C5" s="8" t="n">
        <v>10</v>
      </c>
      <c r="D5" s="8" t="n">
        <v>1659</v>
      </c>
      <c r="E5" s="8" t="n">
        <v>1014</v>
      </c>
      <c r="F5" s="8" t="n">
        <v>1014</v>
      </c>
      <c r="G5" s="8" t="n">
        <v>579</v>
      </c>
      <c r="H5" s="8" t="n">
        <v>1014</v>
      </c>
      <c r="I5" s="8" t="n">
        <v>583</v>
      </c>
      <c r="J5" s="8" t="n">
        <v>583</v>
      </c>
      <c r="K5" s="8" t="n">
        <v>0</v>
      </c>
      <c r="L5" s="8" t="n">
        <v>0</v>
      </c>
      <c r="M5" s="9" t="n">
        <v>0.611</v>
      </c>
      <c r="N5" s="9" t="n">
        <v>1</v>
      </c>
      <c r="O5" s="9" t="n">
        <v>0.571</v>
      </c>
      <c r="P5" s="9" t="n">
        <v>1</v>
      </c>
      <c r="Q5" s="9" t="n">
        <v>0.575</v>
      </c>
      <c r="R5" s="9" t="n">
        <v>1</v>
      </c>
      <c r="S5" s="9" t="n">
        <v>0</v>
      </c>
    </row>
    <row r="6" customFormat="false" ht="15" hidden="false" customHeight="false" outlineLevel="0" collapsed="false">
      <c r="A6" s="7" t="s">
        <v>37</v>
      </c>
      <c r="B6" s="8" t="n">
        <v>800</v>
      </c>
      <c r="C6" s="8" t="n">
        <v>10</v>
      </c>
      <c r="D6" s="8" t="n">
        <v>5933</v>
      </c>
      <c r="E6" s="8" t="n">
        <v>1275</v>
      </c>
      <c r="F6" s="8" t="n">
        <v>1275</v>
      </c>
      <c r="G6" s="8" t="n">
        <v>618</v>
      </c>
      <c r="H6" s="8" t="n">
        <v>1240</v>
      </c>
      <c r="I6" s="8" t="n">
        <v>655</v>
      </c>
      <c r="J6" s="8" t="n">
        <v>592</v>
      </c>
      <c r="K6" s="8" t="n">
        <v>0</v>
      </c>
      <c r="L6" s="8" t="n">
        <v>31</v>
      </c>
      <c r="M6" s="9" t="n">
        <v>0.215</v>
      </c>
      <c r="N6" s="9" t="n">
        <v>1</v>
      </c>
      <c r="O6" s="9" t="n">
        <v>0.485</v>
      </c>
      <c r="P6" s="9" t="n">
        <v>0.972</v>
      </c>
      <c r="Q6" s="9" t="n">
        <v>0.464</v>
      </c>
      <c r="R6" s="9" t="n">
        <v>0.904</v>
      </c>
      <c r="S6" s="9" t="n">
        <v>0</v>
      </c>
    </row>
    <row r="7" customFormat="false" ht="15" hidden="false" customHeight="false" outlineLevel="0" collapsed="false">
      <c r="A7" s="7" t="s">
        <v>38</v>
      </c>
      <c r="B7" s="8" t="n">
        <v>0</v>
      </c>
      <c r="C7" s="8" t="n">
        <v>4</v>
      </c>
      <c r="D7" s="8" t="n">
        <v>9</v>
      </c>
      <c r="E7" s="8" t="n">
        <v>9</v>
      </c>
      <c r="F7" s="8" t="n">
        <v>9</v>
      </c>
      <c r="G7" s="8" t="n">
        <v>9</v>
      </c>
      <c r="H7" s="8" t="n">
        <v>9</v>
      </c>
      <c r="I7" s="8" t="n">
        <v>9</v>
      </c>
      <c r="J7" s="8" t="n">
        <v>9</v>
      </c>
      <c r="K7" s="8" t="n">
        <v>0</v>
      </c>
      <c r="L7" s="8" t="n">
        <v>0</v>
      </c>
      <c r="M7" s="9" t="n">
        <v>1</v>
      </c>
      <c r="N7" s="9" t="n">
        <v>1</v>
      </c>
      <c r="O7" s="9" t="n">
        <v>1</v>
      </c>
      <c r="P7" s="9" t="n">
        <v>1</v>
      </c>
      <c r="Q7" s="9" t="n">
        <v>1</v>
      </c>
      <c r="R7" s="9" t="n">
        <v>1</v>
      </c>
      <c r="S7" s="9" t="n">
        <v>0</v>
      </c>
    </row>
    <row r="9" customFormat="false" ht="15" hidden="false" customHeight="false" outlineLevel="0" collapsed="false">
      <c r="A9" s="10" t="s">
        <v>39</v>
      </c>
    </row>
    <row r="10" customFormat="false" ht="15" hidden="false" customHeight="false" outlineLevel="0" collapsed="false">
      <c r="A10" s="10"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3"/>
    <col collapsed="false" customWidth="true" hidden="false" outlineLevel="0" max="5" min="4" style="0" width="10"/>
    <col collapsed="false" customWidth="true" hidden="false" outlineLevel="0" max="6" min="6" style="0" width="12"/>
    <col collapsed="false" customWidth="true" hidden="false" outlineLevel="0" max="7" min="7" style="0" width="15"/>
    <col collapsed="false" customWidth="true" hidden="false" outlineLevel="0" max="8" min="8" style="0" width="10"/>
    <col collapsed="false" customWidth="true" hidden="false" outlineLevel="0" max="9" min="9" style="0" width="16"/>
    <col collapsed="false" customWidth="true" hidden="false" outlineLevel="0" max="10" min="10" style="0" width="19"/>
    <col collapsed="false" customWidth="true" hidden="false" outlineLevel="0" max="11" min="11" style="0" width="16"/>
    <col collapsed="false" customWidth="true" hidden="false" outlineLevel="0" max="12" min="12" style="0" width="19"/>
    <col collapsed="false" customWidth="true" hidden="false" outlineLevel="0" max="13" min="13" style="0" width="16"/>
    <col collapsed="false" customWidth="true" hidden="false" outlineLevel="0" max="14" min="14" style="0" width="19"/>
    <col collapsed="false" customWidth="true" hidden="false" outlineLevel="0" max="15" min="15" style="0" width="20"/>
    <col collapsed="false" customWidth="true" hidden="false" outlineLevel="0" max="16" min="16" style="0" width="18"/>
    <col collapsed="false" customWidth="true" hidden="false" outlineLevel="0" max="17" min="17" style="0" width="17"/>
    <col collapsed="false" customWidth="true" hidden="false" outlineLevel="0" max="18" min="18" style="0" width="20"/>
    <col collapsed="false" customWidth="true" hidden="false" outlineLevel="0" max="19" min="19" style="0" width="17"/>
    <col collapsed="false" customWidth="true" hidden="false" outlineLevel="0" max="20" min="20" style="0" width="20"/>
    <col collapsed="false" customWidth="true" hidden="false" outlineLevel="0" max="21" min="21" style="0" width="17"/>
    <col collapsed="false" customWidth="true" hidden="false" outlineLevel="0" max="23" min="22" style="0" width="20"/>
    <col collapsed="false" customWidth="true" hidden="false" outlineLevel="0" max="24" min="24" style="0" width="19"/>
    <col collapsed="false" customWidth="true" hidden="false" outlineLevel="0" max="25" min="25" style="0" width="13"/>
    <col collapsed="false" customWidth="true" hidden="false" outlineLevel="0" max="26" min="26" style="0" width="16"/>
    <col collapsed="false" customWidth="true" hidden="false" outlineLevel="0" max="27" min="27" style="0" width="13"/>
    <col collapsed="false" customWidth="true" hidden="false" outlineLevel="0" max="28" min="28" style="0" width="16"/>
    <col collapsed="false" customWidth="true" hidden="false" outlineLevel="0" max="29" min="29" style="0" width="13"/>
    <col collapsed="false" customWidth="true" hidden="false" outlineLevel="0" max="30" min="30" style="0" width="16"/>
    <col collapsed="false" customWidth="true" hidden="false" outlineLevel="0" max="31" min="31" style="0" width="17"/>
    <col collapsed="false" customWidth="true" hidden="false" outlineLevel="0" max="32" min="32" style="0" width="15"/>
    <col collapsed="false" customWidth="true" hidden="false" outlineLevel="0" max="33" min="33" style="0" width="13"/>
    <col collapsed="false" customWidth="true" hidden="false" outlineLevel="0" max="34" min="34" style="0" width="16"/>
    <col collapsed="false" customWidth="true" hidden="false" outlineLevel="0" max="35" min="35" style="0" width="13"/>
    <col collapsed="false" customWidth="true" hidden="false" outlineLevel="0" max="36" min="36" style="0" width="16"/>
  </cols>
  <sheetData>
    <row r="1" customFormat="false" ht="15" hidden="false" customHeight="false" outlineLevel="0" collapsed="false">
      <c r="A1" s="6" t="s">
        <v>17</v>
      </c>
      <c r="B1" s="6" t="s">
        <v>41</v>
      </c>
      <c r="C1" s="6" t="s">
        <v>42</v>
      </c>
      <c r="D1" s="6" t="s">
        <v>43</v>
      </c>
      <c r="E1" s="6" t="s">
        <v>44</v>
      </c>
      <c r="F1" s="6" t="s">
        <v>45</v>
      </c>
      <c r="G1" s="6" t="s">
        <v>28</v>
      </c>
      <c r="H1" s="6" t="s">
        <v>46</v>
      </c>
      <c r="I1" s="6" t="s">
        <v>47</v>
      </c>
      <c r="J1" s="6" t="s">
        <v>48</v>
      </c>
      <c r="K1" s="6" t="s">
        <v>49</v>
      </c>
      <c r="L1" s="6" t="s">
        <v>50</v>
      </c>
      <c r="M1" s="6" t="s">
        <v>51</v>
      </c>
      <c r="N1" s="6" t="s">
        <v>52</v>
      </c>
      <c r="O1" s="6" t="s">
        <v>53</v>
      </c>
      <c r="P1" s="6" t="s">
        <v>54</v>
      </c>
      <c r="Q1" s="6" t="s">
        <v>55</v>
      </c>
      <c r="R1" s="6" t="s">
        <v>56</v>
      </c>
      <c r="S1" s="6" t="s">
        <v>57</v>
      </c>
      <c r="T1" s="6" t="s">
        <v>58</v>
      </c>
      <c r="U1" s="6" t="s">
        <v>59</v>
      </c>
      <c r="V1" s="6" t="s">
        <v>60</v>
      </c>
      <c r="W1" s="6" t="s">
        <v>61</v>
      </c>
      <c r="X1" s="6" t="s">
        <v>62</v>
      </c>
      <c r="Y1" s="6" t="s">
        <v>63</v>
      </c>
      <c r="Z1" s="6" t="s">
        <v>64</v>
      </c>
      <c r="AA1" s="6" t="s">
        <v>65</v>
      </c>
      <c r="AB1" s="6" t="s">
        <v>66</v>
      </c>
      <c r="AC1" s="6" t="s">
        <v>67</v>
      </c>
      <c r="AD1" s="6" t="s">
        <v>68</v>
      </c>
      <c r="AE1" s="6" t="s">
        <v>69</v>
      </c>
      <c r="AF1" s="6" t="s">
        <v>70</v>
      </c>
      <c r="AG1" s="6" t="s">
        <v>71</v>
      </c>
      <c r="AH1" s="6" t="s">
        <v>72</v>
      </c>
      <c r="AI1" s="6" t="s">
        <v>73</v>
      </c>
      <c r="AJ1" s="6" t="s">
        <v>74</v>
      </c>
    </row>
    <row r="2" customFormat="false" ht="15" hidden="false" customHeight="false" outlineLevel="0" collapsed="false">
      <c r="A2" s="11" t="s">
        <v>75</v>
      </c>
      <c r="B2" s="8" t="s">
        <v>76</v>
      </c>
      <c r="C2" s="8" t="s">
        <v>75</v>
      </c>
      <c r="D2" s="8" t="n">
        <v>0</v>
      </c>
      <c r="E2" s="8" t="n">
        <v>0</v>
      </c>
      <c r="F2" s="8" t="n">
        <v>43</v>
      </c>
      <c r="G2" s="8" t="n">
        <v>0</v>
      </c>
      <c r="H2" s="8" t="n">
        <v>17.5</v>
      </c>
      <c r="I2" s="8" t="n">
        <v>17</v>
      </c>
      <c r="J2" s="8" t="n">
        <v>17</v>
      </c>
      <c r="K2" s="8" t="n">
        <v>17</v>
      </c>
      <c r="L2" s="8" t="n">
        <v>17</v>
      </c>
      <c r="M2" s="8" t="n">
        <v>17</v>
      </c>
      <c r="N2" s="8" t="n">
        <v>0</v>
      </c>
      <c r="O2" s="8" t="n">
        <v>17</v>
      </c>
      <c r="P2" s="8" t="n">
        <v>17</v>
      </c>
      <c r="Q2" s="8" t="n">
        <v>20</v>
      </c>
      <c r="R2" s="8" t="n">
        <v>20</v>
      </c>
      <c r="S2" s="8" t="n">
        <v>20</v>
      </c>
      <c r="T2" s="8" t="n">
        <v>20</v>
      </c>
      <c r="U2" s="8" t="n">
        <v>20</v>
      </c>
      <c r="V2" s="8" t="n">
        <v>0</v>
      </c>
      <c r="W2" s="8" t="n">
        <v>20</v>
      </c>
      <c r="X2" s="8" t="n">
        <v>20</v>
      </c>
      <c r="Y2" s="8" t="n">
        <v>6</v>
      </c>
      <c r="Z2" s="8" t="n">
        <v>6</v>
      </c>
      <c r="AA2" s="8" t="n">
        <v>6</v>
      </c>
      <c r="AB2" s="8" t="n">
        <v>6</v>
      </c>
      <c r="AC2" s="8" t="n">
        <v>6</v>
      </c>
      <c r="AD2" s="8" t="n">
        <v>6</v>
      </c>
      <c r="AE2" s="8" t="n">
        <v>6</v>
      </c>
      <c r="AF2" s="8" t="n">
        <v>6</v>
      </c>
      <c r="AG2" s="8" t="n">
        <v>37</v>
      </c>
      <c r="AH2" s="8" t="n">
        <v>37</v>
      </c>
      <c r="AI2" s="8" t="n">
        <v>37</v>
      </c>
      <c r="AJ2" s="8" t="n">
        <v>0</v>
      </c>
    </row>
    <row r="3" customFormat="false" ht="15" hidden="false" customHeight="false" outlineLevel="0" collapsed="false">
      <c r="A3" s="11" t="s">
        <v>75</v>
      </c>
      <c r="B3" s="8" t="s">
        <v>77</v>
      </c>
      <c r="C3" s="8" t="s">
        <v>75</v>
      </c>
      <c r="D3" s="8" t="n">
        <v>1</v>
      </c>
      <c r="E3" s="8" t="n">
        <v>0</v>
      </c>
      <c r="F3" s="8" t="n">
        <v>40</v>
      </c>
      <c r="G3" s="8" t="n">
        <v>0</v>
      </c>
      <c r="H3" s="8" t="n">
        <v>16.5</v>
      </c>
      <c r="I3" s="8" t="n">
        <v>20</v>
      </c>
      <c r="J3" s="8" t="n">
        <v>20</v>
      </c>
      <c r="K3" s="8" t="n">
        <v>20</v>
      </c>
      <c r="L3" s="8" t="n">
        <v>20</v>
      </c>
      <c r="M3" s="8" t="n">
        <v>20</v>
      </c>
      <c r="N3" s="8" t="n">
        <v>0</v>
      </c>
      <c r="O3" s="8" t="n">
        <v>20</v>
      </c>
      <c r="P3" s="8" t="n">
        <v>20</v>
      </c>
      <c r="Q3" s="8" t="n">
        <v>14</v>
      </c>
      <c r="R3" s="8" t="n">
        <v>14</v>
      </c>
      <c r="S3" s="8" t="n">
        <v>14</v>
      </c>
      <c r="T3" s="8" t="n">
        <v>14</v>
      </c>
      <c r="U3" s="8" t="n">
        <v>14</v>
      </c>
      <c r="V3" s="8" t="n">
        <v>0</v>
      </c>
      <c r="W3" s="8" t="n">
        <v>14</v>
      </c>
      <c r="X3" s="8" t="n">
        <v>14</v>
      </c>
      <c r="Y3" s="8" t="n">
        <v>6</v>
      </c>
      <c r="Z3" s="8" t="n">
        <v>6</v>
      </c>
      <c r="AA3" s="8" t="n">
        <v>6</v>
      </c>
      <c r="AB3" s="8" t="n">
        <v>6</v>
      </c>
      <c r="AC3" s="8" t="n">
        <v>6</v>
      </c>
      <c r="AD3" s="8" t="n">
        <v>6</v>
      </c>
      <c r="AE3" s="8" t="n">
        <v>6</v>
      </c>
      <c r="AF3" s="8" t="n">
        <v>6</v>
      </c>
      <c r="AG3" s="8" t="n">
        <v>34</v>
      </c>
      <c r="AH3" s="8" t="n">
        <v>34</v>
      </c>
      <c r="AI3" s="8" t="n">
        <v>34</v>
      </c>
      <c r="AJ3" s="8" t="n">
        <v>0</v>
      </c>
    </row>
    <row r="4" customFormat="false" ht="15" hidden="false" customHeight="false" outlineLevel="0" collapsed="false">
      <c r="A4" s="11" t="s">
        <v>75</v>
      </c>
      <c r="B4" s="8" t="s">
        <v>78</v>
      </c>
      <c r="C4" s="8" t="s">
        <v>75</v>
      </c>
      <c r="D4" s="8" t="n">
        <v>2</v>
      </c>
      <c r="E4" s="8" t="n">
        <v>0</v>
      </c>
      <c r="F4" s="8" t="n">
        <v>45</v>
      </c>
      <c r="G4" s="8" t="n">
        <v>0</v>
      </c>
      <c r="H4" s="8" t="n">
        <v>15.8</v>
      </c>
      <c r="I4" s="8" t="n">
        <v>15</v>
      </c>
      <c r="J4" s="8" t="n">
        <v>15</v>
      </c>
      <c r="K4" s="8" t="n">
        <v>15</v>
      </c>
      <c r="L4" s="8" t="n">
        <v>15</v>
      </c>
      <c r="M4" s="8" t="n">
        <v>15</v>
      </c>
      <c r="N4" s="8" t="n">
        <v>0</v>
      </c>
      <c r="O4" s="8" t="n">
        <v>15</v>
      </c>
      <c r="P4" s="8" t="n">
        <v>15</v>
      </c>
      <c r="Q4" s="8" t="n">
        <v>19</v>
      </c>
      <c r="R4" s="8" t="n">
        <v>19</v>
      </c>
      <c r="S4" s="8" t="n">
        <v>19</v>
      </c>
      <c r="T4" s="8" t="n">
        <v>19</v>
      </c>
      <c r="U4" s="8" t="n">
        <v>19</v>
      </c>
      <c r="V4" s="8" t="n">
        <v>0</v>
      </c>
      <c r="W4" s="8" t="n">
        <v>19</v>
      </c>
      <c r="X4" s="8" t="n">
        <v>19</v>
      </c>
      <c r="Y4" s="8" t="n">
        <v>11</v>
      </c>
      <c r="Z4" s="8" t="n">
        <v>11</v>
      </c>
      <c r="AA4" s="8" t="n">
        <v>11</v>
      </c>
      <c r="AB4" s="8" t="n">
        <v>11</v>
      </c>
      <c r="AC4" s="8" t="n">
        <v>11</v>
      </c>
      <c r="AD4" s="8" t="n">
        <v>11</v>
      </c>
      <c r="AE4" s="8" t="n">
        <v>11</v>
      </c>
      <c r="AF4" s="8" t="n">
        <v>11</v>
      </c>
      <c r="AG4" s="8" t="n">
        <v>34</v>
      </c>
      <c r="AH4" s="8" t="n">
        <v>34</v>
      </c>
      <c r="AI4" s="8" t="n">
        <v>34</v>
      </c>
      <c r="AJ4" s="8" t="n">
        <v>0</v>
      </c>
    </row>
    <row r="5" customFormat="false" ht="15" hidden="false" customHeight="false" outlineLevel="0" collapsed="false">
      <c r="A5" s="11" t="s">
        <v>75</v>
      </c>
      <c r="B5" s="8" t="s">
        <v>79</v>
      </c>
      <c r="C5" s="8" t="s">
        <v>75</v>
      </c>
      <c r="D5" s="8" t="n">
        <v>3</v>
      </c>
      <c r="E5" s="8" t="n">
        <v>0</v>
      </c>
      <c r="F5" s="8" t="n">
        <v>40</v>
      </c>
      <c r="G5" s="8" t="n">
        <v>0</v>
      </c>
      <c r="H5" s="8" t="n">
        <v>14.1</v>
      </c>
      <c r="I5" s="8" t="n">
        <v>20</v>
      </c>
      <c r="J5" s="8" t="n">
        <v>20</v>
      </c>
      <c r="K5" s="8" t="n">
        <v>20</v>
      </c>
      <c r="L5" s="8" t="n">
        <v>20</v>
      </c>
      <c r="M5" s="8" t="n">
        <v>20</v>
      </c>
      <c r="N5" s="8" t="n">
        <v>0</v>
      </c>
      <c r="O5" s="8" t="n">
        <v>20</v>
      </c>
      <c r="P5" s="8" t="n">
        <v>20</v>
      </c>
      <c r="Q5" s="8" t="n">
        <v>15</v>
      </c>
      <c r="R5" s="8" t="n">
        <v>15</v>
      </c>
      <c r="S5" s="8" t="n">
        <v>15</v>
      </c>
      <c r="T5" s="8" t="n">
        <v>15</v>
      </c>
      <c r="U5" s="8" t="n">
        <v>15</v>
      </c>
      <c r="V5" s="8" t="n">
        <v>0</v>
      </c>
      <c r="W5" s="8" t="n">
        <v>15</v>
      </c>
      <c r="X5" s="8" t="n">
        <v>15</v>
      </c>
      <c r="Y5" s="8" t="n">
        <v>5</v>
      </c>
      <c r="Z5" s="8" t="n">
        <v>5</v>
      </c>
      <c r="AA5" s="8" t="n">
        <v>5</v>
      </c>
      <c r="AB5" s="8" t="n">
        <v>5</v>
      </c>
      <c r="AC5" s="8" t="n">
        <v>5</v>
      </c>
      <c r="AD5" s="8" t="n">
        <v>5</v>
      </c>
      <c r="AE5" s="8" t="n">
        <v>5</v>
      </c>
      <c r="AF5" s="8" t="n">
        <v>5</v>
      </c>
      <c r="AG5" s="8" t="n">
        <v>35</v>
      </c>
      <c r="AH5" s="8" t="n">
        <v>35</v>
      </c>
      <c r="AI5" s="8" t="n">
        <v>35</v>
      </c>
      <c r="AJ5" s="8" t="n">
        <v>0</v>
      </c>
    </row>
    <row r="6" customFormat="false" ht="15" hidden="false" customHeight="false" outlineLevel="0" collapsed="false">
      <c r="A6" s="11" t="s">
        <v>75</v>
      </c>
      <c r="B6" s="8" t="s">
        <v>80</v>
      </c>
      <c r="C6" s="8" t="s">
        <v>75</v>
      </c>
      <c r="D6" s="8" t="n">
        <v>4</v>
      </c>
      <c r="E6" s="8" t="n">
        <v>0</v>
      </c>
      <c r="F6" s="8" t="n">
        <v>43</v>
      </c>
      <c r="G6" s="8" t="n">
        <v>0</v>
      </c>
      <c r="H6" s="8" t="n">
        <v>12.9</v>
      </c>
      <c r="I6" s="8" t="n">
        <v>17</v>
      </c>
      <c r="J6" s="8" t="n">
        <v>17</v>
      </c>
      <c r="K6" s="8" t="n">
        <v>17</v>
      </c>
      <c r="L6" s="8" t="n">
        <v>17</v>
      </c>
      <c r="M6" s="8" t="n">
        <v>17</v>
      </c>
      <c r="N6" s="8" t="n">
        <v>0</v>
      </c>
      <c r="O6" s="8" t="n">
        <v>17</v>
      </c>
      <c r="P6" s="8" t="n">
        <v>17</v>
      </c>
      <c r="Q6" s="8" t="n">
        <v>17</v>
      </c>
      <c r="R6" s="8" t="n">
        <v>17</v>
      </c>
      <c r="S6" s="8" t="n">
        <v>17</v>
      </c>
      <c r="T6" s="8" t="n">
        <v>17</v>
      </c>
      <c r="U6" s="8" t="n">
        <v>17</v>
      </c>
      <c r="V6" s="8" t="n">
        <v>0</v>
      </c>
      <c r="W6" s="8" t="n">
        <v>17</v>
      </c>
      <c r="X6" s="8" t="n">
        <v>17</v>
      </c>
      <c r="Y6" s="8" t="n">
        <v>9</v>
      </c>
      <c r="Z6" s="8" t="n">
        <v>9</v>
      </c>
      <c r="AA6" s="8" t="n">
        <v>9</v>
      </c>
      <c r="AB6" s="8" t="n">
        <v>9</v>
      </c>
      <c r="AC6" s="8" t="n">
        <v>9</v>
      </c>
      <c r="AD6" s="8" t="n">
        <v>9</v>
      </c>
      <c r="AE6" s="8" t="n">
        <v>9</v>
      </c>
      <c r="AF6" s="8" t="n">
        <v>9</v>
      </c>
      <c r="AG6" s="8" t="n">
        <v>34</v>
      </c>
      <c r="AH6" s="8" t="n">
        <v>34</v>
      </c>
      <c r="AI6" s="8" t="n">
        <v>34</v>
      </c>
      <c r="AJ6" s="8" t="n">
        <v>0</v>
      </c>
    </row>
    <row r="7" customFormat="false" ht="15" hidden="false" customHeight="false" outlineLevel="0" collapsed="false">
      <c r="A7" s="11" t="s">
        <v>75</v>
      </c>
      <c r="B7" s="8" t="s">
        <v>81</v>
      </c>
      <c r="C7" s="8" t="s">
        <v>75</v>
      </c>
      <c r="D7" s="8" t="n">
        <v>5</v>
      </c>
      <c r="E7" s="8" t="n">
        <v>0</v>
      </c>
      <c r="F7" s="8" t="n">
        <v>47</v>
      </c>
      <c r="G7" s="8" t="n">
        <v>0</v>
      </c>
      <c r="H7" s="8" t="n">
        <v>13.4</v>
      </c>
      <c r="I7" s="8" t="n">
        <v>13</v>
      </c>
      <c r="J7" s="8" t="n">
        <v>13</v>
      </c>
      <c r="K7" s="8" t="n">
        <v>13</v>
      </c>
      <c r="L7" s="8" t="n">
        <v>13</v>
      </c>
      <c r="M7" s="8" t="n">
        <v>13</v>
      </c>
      <c r="N7" s="8" t="n">
        <v>0</v>
      </c>
      <c r="O7" s="8" t="n">
        <v>13</v>
      </c>
      <c r="P7" s="8" t="n">
        <v>13</v>
      </c>
      <c r="Q7" s="8" t="n">
        <v>22</v>
      </c>
      <c r="R7" s="8" t="n">
        <v>22</v>
      </c>
      <c r="S7" s="8" t="n">
        <v>22</v>
      </c>
      <c r="T7" s="8" t="n">
        <v>22</v>
      </c>
      <c r="U7" s="8" t="n">
        <v>22</v>
      </c>
      <c r="V7" s="8" t="n">
        <v>0</v>
      </c>
      <c r="W7" s="8" t="n">
        <v>22</v>
      </c>
      <c r="X7" s="8" t="n">
        <v>22</v>
      </c>
      <c r="Y7" s="8" t="n">
        <v>12</v>
      </c>
      <c r="Z7" s="8" t="n">
        <v>12</v>
      </c>
      <c r="AA7" s="8" t="n">
        <v>12</v>
      </c>
      <c r="AB7" s="8" t="n">
        <v>12</v>
      </c>
      <c r="AC7" s="8" t="n">
        <v>12</v>
      </c>
      <c r="AD7" s="8" t="n">
        <v>12</v>
      </c>
      <c r="AE7" s="8" t="n">
        <v>12</v>
      </c>
      <c r="AF7" s="8" t="n">
        <v>12</v>
      </c>
      <c r="AG7" s="8" t="n">
        <v>35</v>
      </c>
      <c r="AH7" s="8" t="n">
        <v>35</v>
      </c>
      <c r="AI7" s="8" t="n">
        <v>35</v>
      </c>
      <c r="AJ7" s="8" t="n">
        <v>0</v>
      </c>
    </row>
    <row r="8" customFormat="false" ht="15" hidden="false" customHeight="false" outlineLevel="0" collapsed="false">
      <c r="A8" s="11" t="s">
        <v>75</v>
      </c>
      <c r="B8" s="8" t="s">
        <v>82</v>
      </c>
      <c r="C8" s="8" t="s">
        <v>75</v>
      </c>
      <c r="D8" s="8" t="n">
        <v>6</v>
      </c>
      <c r="E8" s="8" t="n">
        <v>0</v>
      </c>
      <c r="F8" s="8" t="n">
        <v>46</v>
      </c>
      <c r="G8" s="8" t="n">
        <v>0</v>
      </c>
      <c r="H8" s="8" t="n">
        <v>13.5</v>
      </c>
      <c r="I8" s="8" t="n">
        <v>14</v>
      </c>
      <c r="J8" s="8" t="n">
        <v>14</v>
      </c>
      <c r="K8" s="8" t="n">
        <v>14</v>
      </c>
      <c r="L8" s="8" t="n">
        <v>14</v>
      </c>
      <c r="M8" s="8" t="n">
        <v>14</v>
      </c>
      <c r="N8" s="8" t="n">
        <v>0</v>
      </c>
      <c r="O8" s="8" t="n">
        <v>14</v>
      </c>
      <c r="P8" s="8" t="n">
        <v>14</v>
      </c>
      <c r="Q8" s="8" t="n">
        <v>21</v>
      </c>
      <c r="R8" s="8" t="n">
        <v>21</v>
      </c>
      <c r="S8" s="8" t="n">
        <v>21</v>
      </c>
      <c r="T8" s="8" t="n">
        <v>21</v>
      </c>
      <c r="U8" s="8" t="n">
        <v>21</v>
      </c>
      <c r="V8" s="8" t="n">
        <v>0</v>
      </c>
      <c r="W8" s="8" t="n">
        <v>21</v>
      </c>
      <c r="X8" s="8" t="n">
        <v>21</v>
      </c>
      <c r="Y8" s="8" t="n">
        <v>11</v>
      </c>
      <c r="Z8" s="8" t="n">
        <v>11</v>
      </c>
      <c r="AA8" s="8" t="n">
        <v>11</v>
      </c>
      <c r="AB8" s="8" t="n">
        <v>11</v>
      </c>
      <c r="AC8" s="8" t="n">
        <v>11</v>
      </c>
      <c r="AD8" s="8" t="n">
        <v>11</v>
      </c>
      <c r="AE8" s="8" t="n">
        <v>11</v>
      </c>
      <c r="AF8" s="8" t="n">
        <v>11</v>
      </c>
      <c r="AG8" s="8" t="n">
        <v>35</v>
      </c>
      <c r="AH8" s="8" t="n">
        <v>35</v>
      </c>
      <c r="AI8" s="8" t="n">
        <v>35</v>
      </c>
      <c r="AJ8" s="8" t="n">
        <v>0</v>
      </c>
    </row>
    <row r="9" customFormat="false" ht="15" hidden="false" customHeight="false" outlineLevel="0" collapsed="false">
      <c r="A9" s="11" t="s">
        <v>75</v>
      </c>
      <c r="B9" s="8" t="s">
        <v>83</v>
      </c>
      <c r="C9" s="8" t="s">
        <v>75</v>
      </c>
      <c r="D9" s="8" t="n">
        <v>7</v>
      </c>
      <c r="E9" s="8" t="n">
        <v>0</v>
      </c>
      <c r="F9" s="8" t="n">
        <v>42</v>
      </c>
      <c r="G9" s="8" t="n">
        <v>0</v>
      </c>
      <c r="H9" s="8" t="n">
        <v>16.6</v>
      </c>
      <c r="I9" s="8" t="n">
        <v>18</v>
      </c>
      <c r="J9" s="8" t="n">
        <v>18</v>
      </c>
      <c r="K9" s="8" t="n">
        <v>18</v>
      </c>
      <c r="L9" s="8" t="n">
        <v>18</v>
      </c>
      <c r="M9" s="8" t="n">
        <v>18</v>
      </c>
      <c r="N9" s="8" t="n">
        <v>0</v>
      </c>
      <c r="O9" s="8" t="n">
        <v>18</v>
      </c>
      <c r="P9" s="8" t="n">
        <v>18</v>
      </c>
      <c r="Q9" s="8" t="n">
        <v>18</v>
      </c>
      <c r="R9" s="8" t="n">
        <v>18</v>
      </c>
      <c r="S9" s="8" t="n">
        <v>18</v>
      </c>
      <c r="T9" s="8" t="n">
        <v>18</v>
      </c>
      <c r="U9" s="8" t="n">
        <v>18</v>
      </c>
      <c r="V9" s="8" t="n">
        <v>0</v>
      </c>
      <c r="W9" s="8" t="n">
        <v>18</v>
      </c>
      <c r="X9" s="8" t="n">
        <v>18</v>
      </c>
      <c r="Y9" s="8" t="n">
        <v>6</v>
      </c>
      <c r="Z9" s="8" t="n">
        <v>6</v>
      </c>
      <c r="AA9" s="8" t="n">
        <v>6</v>
      </c>
      <c r="AB9" s="8" t="n">
        <v>6</v>
      </c>
      <c r="AC9" s="8" t="n">
        <v>6</v>
      </c>
      <c r="AD9" s="8" t="n">
        <v>6</v>
      </c>
      <c r="AE9" s="8" t="n">
        <v>6</v>
      </c>
      <c r="AF9" s="8" t="n">
        <v>6</v>
      </c>
      <c r="AG9" s="8" t="n">
        <v>36</v>
      </c>
      <c r="AH9" s="8" t="n">
        <v>36</v>
      </c>
      <c r="AI9" s="8" t="n">
        <v>36</v>
      </c>
      <c r="AJ9" s="8" t="n">
        <v>0</v>
      </c>
    </row>
    <row r="10" customFormat="false" ht="15" hidden="false" customHeight="false" outlineLevel="0" collapsed="false">
      <c r="A10" s="11" t="s">
        <v>75</v>
      </c>
      <c r="B10" s="8" t="s">
        <v>84</v>
      </c>
      <c r="C10" s="8" t="s">
        <v>75</v>
      </c>
      <c r="D10" s="8" t="n">
        <v>8</v>
      </c>
      <c r="E10" s="8" t="n">
        <v>0</v>
      </c>
      <c r="F10" s="8" t="n">
        <v>46</v>
      </c>
      <c r="G10" s="8" t="n">
        <v>0</v>
      </c>
      <c r="H10" s="8" t="n">
        <v>16.2</v>
      </c>
      <c r="I10" s="8" t="n">
        <v>14</v>
      </c>
      <c r="J10" s="8" t="n">
        <v>14</v>
      </c>
      <c r="K10" s="8" t="n">
        <v>14</v>
      </c>
      <c r="L10" s="8" t="n">
        <v>14</v>
      </c>
      <c r="M10" s="8" t="n">
        <v>14</v>
      </c>
      <c r="N10" s="8" t="n">
        <v>0</v>
      </c>
      <c r="O10" s="8" t="n">
        <v>14</v>
      </c>
      <c r="P10" s="8" t="n">
        <v>14</v>
      </c>
      <c r="Q10" s="8" t="n">
        <v>20</v>
      </c>
      <c r="R10" s="8" t="n">
        <v>20</v>
      </c>
      <c r="S10" s="8" t="n">
        <v>20</v>
      </c>
      <c r="T10" s="8" t="n">
        <v>20</v>
      </c>
      <c r="U10" s="8" t="n">
        <v>20</v>
      </c>
      <c r="V10" s="8" t="n">
        <v>0</v>
      </c>
      <c r="W10" s="8" t="n">
        <v>20</v>
      </c>
      <c r="X10" s="8" t="n">
        <v>20</v>
      </c>
      <c r="Y10" s="8" t="n">
        <v>12</v>
      </c>
      <c r="Z10" s="8" t="n">
        <v>12</v>
      </c>
      <c r="AA10" s="8" t="n">
        <v>12</v>
      </c>
      <c r="AB10" s="8" t="n">
        <v>12</v>
      </c>
      <c r="AC10" s="8" t="n">
        <v>12</v>
      </c>
      <c r="AD10" s="8" t="n">
        <v>12</v>
      </c>
      <c r="AE10" s="8" t="n">
        <v>12</v>
      </c>
      <c r="AF10" s="8" t="n">
        <v>12</v>
      </c>
      <c r="AG10" s="8" t="n">
        <v>34</v>
      </c>
      <c r="AH10" s="8" t="n">
        <v>34</v>
      </c>
      <c r="AI10" s="8" t="n">
        <v>34</v>
      </c>
      <c r="AJ10" s="8" t="n">
        <v>0</v>
      </c>
    </row>
    <row r="11" customFormat="false" ht="15" hidden="false" customHeight="false" outlineLevel="0" collapsed="false">
      <c r="A11" s="11" t="s">
        <v>75</v>
      </c>
      <c r="B11" s="8" t="s">
        <v>85</v>
      </c>
      <c r="C11" s="8" t="s">
        <v>75</v>
      </c>
      <c r="D11" s="8" t="n">
        <v>9</v>
      </c>
      <c r="E11" s="8" t="n">
        <v>0</v>
      </c>
      <c r="F11" s="8" t="n">
        <v>44</v>
      </c>
      <c r="G11" s="8" t="n">
        <v>0</v>
      </c>
      <c r="H11" s="8" t="n">
        <v>16.1</v>
      </c>
      <c r="I11" s="8" t="n">
        <v>16</v>
      </c>
      <c r="J11" s="8" t="n">
        <v>16</v>
      </c>
      <c r="K11" s="8" t="n">
        <v>16</v>
      </c>
      <c r="L11" s="8" t="n">
        <v>16</v>
      </c>
      <c r="M11" s="8" t="n">
        <v>16</v>
      </c>
      <c r="N11" s="8" t="n">
        <v>0</v>
      </c>
      <c r="O11" s="8" t="n">
        <v>16</v>
      </c>
      <c r="P11" s="8" t="n">
        <v>16</v>
      </c>
      <c r="Q11" s="8" t="n">
        <v>20</v>
      </c>
      <c r="R11" s="8" t="n">
        <v>20</v>
      </c>
      <c r="S11" s="8" t="n">
        <v>20</v>
      </c>
      <c r="T11" s="8" t="n">
        <v>20</v>
      </c>
      <c r="U11" s="8" t="n">
        <v>20</v>
      </c>
      <c r="V11" s="8" t="n">
        <v>0</v>
      </c>
      <c r="W11" s="8" t="n">
        <v>20</v>
      </c>
      <c r="X11" s="8" t="n">
        <v>20</v>
      </c>
      <c r="Y11" s="8" t="n">
        <v>8</v>
      </c>
      <c r="Z11" s="8" t="n">
        <v>8</v>
      </c>
      <c r="AA11" s="8" t="n">
        <v>8</v>
      </c>
      <c r="AB11" s="8" t="n">
        <v>8</v>
      </c>
      <c r="AC11" s="8" t="n">
        <v>8</v>
      </c>
      <c r="AD11" s="8" t="n">
        <v>8</v>
      </c>
      <c r="AE11" s="8" t="n">
        <v>8</v>
      </c>
      <c r="AF11" s="8" t="n">
        <v>8</v>
      </c>
      <c r="AG11" s="8" t="n">
        <v>36</v>
      </c>
      <c r="AH11" s="8" t="n">
        <v>36</v>
      </c>
      <c r="AI11" s="8" t="n">
        <v>36</v>
      </c>
      <c r="AJ11" s="8" t="n">
        <v>0</v>
      </c>
    </row>
    <row r="12" customFormat="false" ht="15" hidden="false" customHeight="false" outlineLevel="0" collapsed="false">
      <c r="A12" s="11" t="s">
        <v>75</v>
      </c>
      <c r="B12" s="8" t="s">
        <v>86</v>
      </c>
      <c r="C12" s="8" t="s">
        <v>75</v>
      </c>
      <c r="D12" s="8" t="n">
        <v>0</v>
      </c>
      <c r="E12" s="8" t="n">
        <v>50</v>
      </c>
      <c r="F12" s="8" t="n">
        <v>78</v>
      </c>
      <c r="G12" s="8" t="n">
        <v>0</v>
      </c>
      <c r="H12" s="8" t="n">
        <v>14.9</v>
      </c>
      <c r="I12" s="8" t="n">
        <v>32</v>
      </c>
      <c r="J12" s="8" t="n">
        <v>32</v>
      </c>
      <c r="K12" s="8" t="n">
        <v>32</v>
      </c>
      <c r="L12" s="8" t="n">
        <v>32</v>
      </c>
      <c r="M12" s="8" t="n">
        <v>32</v>
      </c>
      <c r="N12" s="8" t="n">
        <v>0</v>
      </c>
      <c r="O12" s="8" t="n">
        <v>32</v>
      </c>
      <c r="P12" s="8" t="n">
        <v>32</v>
      </c>
      <c r="Q12" s="8" t="n">
        <v>33</v>
      </c>
      <c r="R12" s="8" t="n">
        <v>33</v>
      </c>
      <c r="S12" s="8" t="n">
        <v>33</v>
      </c>
      <c r="T12" s="8" t="n">
        <v>33</v>
      </c>
      <c r="U12" s="8" t="n">
        <v>33</v>
      </c>
      <c r="V12" s="8" t="n">
        <v>0</v>
      </c>
      <c r="W12" s="8" t="n">
        <v>33</v>
      </c>
      <c r="X12" s="8" t="n">
        <v>33</v>
      </c>
      <c r="Y12" s="8" t="n">
        <v>13</v>
      </c>
      <c r="Z12" s="8" t="n">
        <v>13</v>
      </c>
      <c r="AA12" s="8" t="n">
        <v>13</v>
      </c>
      <c r="AB12" s="8" t="n">
        <v>13</v>
      </c>
      <c r="AC12" s="8" t="n">
        <v>13</v>
      </c>
      <c r="AD12" s="8" t="n">
        <v>13</v>
      </c>
      <c r="AE12" s="8" t="n">
        <v>13</v>
      </c>
      <c r="AF12" s="8" t="n">
        <v>13</v>
      </c>
      <c r="AG12" s="8" t="n">
        <v>37</v>
      </c>
      <c r="AH12" s="8" t="n">
        <v>37</v>
      </c>
      <c r="AI12" s="8" t="n">
        <v>37</v>
      </c>
      <c r="AJ12" s="8" t="n">
        <v>0</v>
      </c>
    </row>
    <row r="13" customFormat="false" ht="15" hidden="false" customHeight="false" outlineLevel="0" collapsed="false">
      <c r="A13" s="11" t="s">
        <v>75</v>
      </c>
      <c r="B13" s="8" t="s">
        <v>87</v>
      </c>
      <c r="C13" s="8" t="s">
        <v>75</v>
      </c>
      <c r="D13" s="8" t="n">
        <v>1</v>
      </c>
      <c r="E13" s="8" t="n">
        <v>50</v>
      </c>
      <c r="F13" s="8" t="n">
        <v>77</v>
      </c>
      <c r="G13" s="8" t="n">
        <v>0</v>
      </c>
      <c r="H13" s="8" t="n">
        <v>15.2</v>
      </c>
      <c r="I13" s="8" t="n">
        <v>33</v>
      </c>
      <c r="J13" s="8" t="n">
        <v>33</v>
      </c>
      <c r="K13" s="8" t="n">
        <v>33</v>
      </c>
      <c r="L13" s="8" t="n">
        <v>33</v>
      </c>
      <c r="M13" s="8" t="n">
        <v>33</v>
      </c>
      <c r="N13" s="8" t="n">
        <v>0</v>
      </c>
      <c r="O13" s="8" t="n">
        <v>33</v>
      </c>
      <c r="P13" s="8" t="n">
        <v>33</v>
      </c>
      <c r="Q13" s="8" t="n">
        <v>27</v>
      </c>
      <c r="R13" s="8" t="n">
        <v>27</v>
      </c>
      <c r="S13" s="8" t="n">
        <v>27</v>
      </c>
      <c r="T13" s="8" t="n">
        <v>26</v>
      </c>
      <c r="U13" s="8" t="n">
        <v>27</v>
      </c>
      <c r="V13" s="8" t="n">
        <v>0</v>
      </c>
      <c r="W13" s="8" t="n">
        <v>27</v>
      </c>
      <c r="X13" s="8" t="n">
        <v>27</v>
      </c>
      <c r="Y13" s="8" t="n">
        <v>17</v>
      </c>
      <c r="Z13" s="8" t="n">
        <v>17</v>
      </c>
      <c r="AA13" s="8" t="n">
        <v>17</v>
      </c>
      <c r="AB13" s="8" t="n">
        <v>17</v>
      </c>
      <c r="AC13" s="8" t="n">
        <v>17</v>
      </c>
      <c r="AD13" s="8" t="n">
        <v>17</v>
      </c>
      <c r="AE13" s="8" t="n">
        <v>17</v>
      </c>
      <c r="AF13" s="8" t="n">
        <v>17</v>
      </c>
      <c r="AG13" s="8" t="n">
        <v>34</v>
      </c>
      <c r="AH13" s="8" t="n">
        <v>34</v>
      </c>
      <c r="AI13" s="8" t="n">
        <v>34</v>
      </c>
      <c r="AJ13" s="8" t="n">
        <v>0</v>
      </c>
    </row>
    <row r="14" customFormat="false" ht="15" hidden="false" customHeight="false" outlineLevel="0" collapsed="false">
      <c r="A14" s="11" t="s">
        <v>75</v>
      </c>
      <c r="B14" s="8" t="s">
        <v>88</v>
      </c>
      <c r="C14" s="8" t="s">
        <v>75</v>
      </c>
      <c r="D14" s="8" t="n">
        <v>2</v>
      </c>
      <c r="E14" s="8" t="n">
        <v>50</v>
      </c>
      <c r="F14" s="8" t="n">
        <v>78</v>
      </c>
      <c r="G14" s="8" t="n">
        <v>0</v>
      </c>
      <c r="H14" s="8" t="n">
        <v>15.2</v>
      </c>
      <c r="I14" s="8" t="n">
        <v>32</v>
      </c>
      <c r="J14" s="8" t="n">
        <v>32</v>
      </c>
      <c r="K14" s="8" t="n">
        <v>32</v>
      </c>
      <c r="L14" s="8" t="n">
        <v>32</v>
      </c>
      <c r="M14" s="8" t="n">
        <v>32</v>
      </c>
      <c r="N14" s="8" t="n">
        <v>0</v>
      </c>
      <c r="O14" s="8" t="n">
        <v>32</v>
      </c>
      <c r="P14" s="8" t="n">
        <v>32</v>
      </c>
      <c r="Q14" s="8" t="n">
        <v>31</v>
      </c>
      <c r="R14" s="8" t="n">
        <v>31</v>
      </c>
      <c r="S14" s="8" t="n">
        <v>31</v>
      </c>
      <c r="T14" s="8" t="n">
        <v>31</v>
      </c>
      <c r="U14" s="8" t="n">
        <v>31</v>
      </c>
      <c r="V14" s="8" t="n">
        <v>0</v>
      </c>
      <c r="W14" s="8" t="n">
        <v>31</v>
      </c>
      <c r="X14" s="8" t="n">
        <v>31</v>
      </c>
      <c r="Y14" s="8" t="n">
        <v>15</v>
      </c>
      <c r="Z14" s="8" t="n">
        <v>15</v>
      </c>
      <c r="AA14" s="8" t="n">
        <v>15</v>
      </c>
      <c r="AB14" s="8" t="n">
        <v>15</v>
      </c>
      <c r="AC14" s="8" t="n">
        <v>15</v>
      </c>
      <c r="AD14" s="8" t="n">
        <v>15</v>
      </c>
      <c r="AE14" s="8" t="n">
        <v>15</v>
      </c>
      <c r="AF14" s="8" t="n">
        <v>15</v>
      </c>
      <c r="AG14" s="8" t="n">
        <v>34</v>
      </c>
      <c r="AH14" s="8" t="n">
        <v>34</v>
      </c>
      <c r="AI14" s="8" t="n">
        <v>34</v>
      </c>
      <c r="AJ14" s="8" t="n">
        <v>0</v>
      </c>
    </row>
    <row r="15" customFormat="false" ht="15" hidden="false" customHeight="false" outlineLevel="0" collapsed="false">
      <c r="A15" s="11" t="s">
        <v>75</v>
      </c>
      <c r="B15" s="8" t="s">
        <v>89</v>
      </c>
      <c r="C15" s="8" t="s">
        <v>75</v>
      </c>
      <c r="D15" s="8" t="n">
        <v>3</v>
      </c>
      <c r="E15" s="8" t="n">
        <v>50</v>
      </c>
      <c r="F15" s="8" t="n">
        <v>76</v>
      </c>
      <c r="G15" s="8" t="n">
        <v>0</v>
      </c>
      <c r="H15" s="8" t="n">
        <v>14.7</v>
      </c>
      <c r="I15" s="8" t="n">
        <v>34</v>
      </c>
      <c r="J15" s="8" t="n">
        <v>34</v>
      </c>
      <c r="K15" s="8" t="n">
        <v>34</v>
      </c>
      <c r="L15" s="8" t="n">
        <v>34</v>
      </c>
      <c r="M15" s="8" t="n">
        <v>34</v>
      </c>
      <c r="N15" s="8" t="n">
        <v>0</v>
      </c>
      <c r="O15" s="8" t="n">
        <v>34</v>
      </c>
      <c r="P15" s="8" t="n">
        <v>34</v>
      </c>
      <c r="Q15" s="8" t="n">
        <v>32</v>
      </c>
      <c r="R15" s="8" t="n">
        <v>32</v>
      </c>
      <c r="S15" s="8" t="n">
        <v>32</v>
      </c>
      <c r="T15" s="8" t="n">
        <v>30</v>
      </c>
      <c r="U15" s="8" t="n">
        <v>32</v>
      </c>
      <c r="V15" s="8" t="n">
        <v>0</v>
      </c>
      <c r="W15" s="8" t="n">
        <v>32</v>
      </c>
      <c r="X15" s="8" t="n">
        <v>32</v>
      </c>
      <c r="Y15" s="8" t="n">
        <v>10</v>
      </c>
      <c r="Z15" s="8" t="n">
        <v>10</v>
      </c>
      <c r="AA15" s="8" t="n">
        <v>10</v>
      </c>
      <c r="AB15" s="8" t="n">
        <v>10</v>
      </c>
      <c r="AC15" s="8" t="n">
        <v>10</v>
      </c>
      <c r="AD15" s="8" t="n">
        <v>10</v>
      </c>
      <c r="AE15" s="8" t="n">
        <v>10</v>
      </c>
      <c r="AF15" s="8" t="n">
        <v>10</v>
      </c>
      <c r="AG15" s="8" t="n">
        <v>35</v>
      </c>
      <c r="AH15" s="8" t="n">
        <v>35</v>
      </c>
      <c r="AI15" s="8" t="n">
        <v>35</v>
      </c>
      <c r="AJ15" s="8" t="n">
        <v>0</v>
      </c>
    </row>
    <row r="16" customFormat="false" ht="15" hidden="false" customHeight="false" outlineLevel="0" collapsed="false">
      <c r="A16" s="11" t="s">
        <v>75</v>
      </c>
      <c r="B16" s="8" t="s">
        <v>90</v>
      </c>
      <c r="C16" s="8" t="s">
        <v>75</v>
      </c>
      <c r="D16" s="8" t="n">
        <v>4</v>
      </c>
      <c r="E16" s="8" t="n">
        <v>50</v>
      </c>
      <c r="F16" s="8" t="n">
        <v>76</v>
      </c>
      <c r="G16" s="8" t="n">
        <v>0</v>
      </c>
      <c r="H16" s="8" t="n">
        <v>14.5</v>
      </c>
      <c r="I16" s="8" t="n">
        <v>34</v>
      </c>
      <c r="J16" s="8" t="n">
        <v>34</v>
      </c>
      <c r="K16" s="8" t="n">
        <v>34</v>
      </c>
      <c r="L16" s="8" t="n">
        <v>34</v>
      </c>
      <c r="M16" s="8" t="n">
        <v>34</v>
      </c>
      <c r="N16" s="8" t="n">
        <v>0</v>
      </c>
      <c r="O16" s="8" t="n">
        <v>34</v>
      </c>
      <c r="P16" s="8" t="n">
        <v>34</v>
      </c>
      <c r="Q16" s="8" t="n">
        <v>26</v>
      </c>
      <c r="R16" s="8" t="n">
        <v>26</v>
      </c>
      <c r="S16" s="8" t="n">
        <v>26</v>
      </c>
      <c r="T16" s="8" t="n">
        <v>26</v>
      </c>
      <c r="U16" s="8" t="n">
        <v>26</v>
      </c>
      <c r="V16" s="8" t="n">
        <v>0</v>
      </c>
      <c r="W16" s="8" t="n">
        <v>26</v>
      </c>
      <c r="X16" s="8" t="n">
        <v>26</v>
      </c>
      <c r="Y16" s="8" t="n">
        <v>16</v>
      </c>
      <c r="Z16" s="8" t="n">
        <v>16</v>
      </c>
      <c r="AA16" s="8" t="n">
        <v>16</v>
      </c>
      <c r="AB16" s="8" t="n">
        <v>16</v>
      </c>
      <c r="AC16" s="8" t="n">
        <v>16</v>
      </c>
      <c r="AD16" s="8" t="n">
        <v>16</v>
      </c>
      <c r="AE16" s="8" t="n">
        <v>16</v>
      </c>
      <c r="AF16" s="8" t="n">
        <v>16</v>
      </c>
      <c r="AG16" s="8" t="n">
        <v>34</v>
      </c>
      <c r="AH16" s="8" t="n">
        <v>34</v>
      </c>
      <c r="AI16" s="8" t="n">
        <v>34</v>
      </c>
      <c r="AJ16" s="8" t="n">
        <v>0</v>
      </c>
    </row>
    <row r="17" customFormat="false" ht="15" hidden="false" customHeight="false" outlineLevel="0" collapsed="false">
      <c r="A17" s="11" t="s">
        <v>75</v>
      </c>
      <c r="B17" s="8" t="s">
        <v>91</v>
      </c>
      <c r="C17" s="8" t="s">
        <v>75</v>
      </c>
      <c r="D17" s="8" t="n">
        <v>5</v>
      </c>
      <c r="E17" s="8" t="n">
        <v>50</v>
      </c>
      <c r="F17" s="8" t="n">
        <v>69</v>
      </c>
      <c r="G17" s="8" t="n">
        <v>0</v>
      </c>
      <c r="H17" s="8" t="n">
        <v>14.8</v>
      </c>
      <c r="I17" s="8" t="n">
        <v>29</v>
      </c>
      <c r="J17" s="8" t="n">
        <v>21</v>
      </c>
      <c r="K17" s="8" t="n">
        <v>21</v>
      </c>
      <c r="L17" s="8" t="n">
        <v>16</v>
      </c>
      <c r="M17" s="8" t="n">
        <v>21</v>
      </c>
      <c r="N17" s="8" t="n">
        <v>0</v>
      </c>
      <c r="O17" s="8" t="n">
        <v>16</v>
      </c>
      <c r="P17" s="8" t="n">
        <v>16</v>
      </c>
      <c r="Q17" s="8" t="n">
        <v>31</v>
      </c>
      <c r="R17" s="8" t="n">
        <v>27</v>
      </c>
      <c r="S17" s="8" t="n">
        <v>27</v>
      </c>
      <c r="T17" s="8" t="n">
        <v>22</v>
      </c>
      <c r="U17" s="8" t="n">
        <v>27</v>
      </c>
      <c r="V17" s="8" t="n">
        <v>0</v>
      </c>
      <c r="W17" s="8" t="n">
        <v>22</v>
      </c>
      <c r="X17" s="8" t="n">
        <v>22</v>
      </c>
      <c r="Y17" s="8" t="n">
        <v>21</v>
      </c>
      <c r="Z17" s="8" t="n">
        <v>21</v>
      </c>
      <c r="AA17" s="8" t="n">
        <v>21</v>
      </c>
      <c r="AB17" s="8" t="n">
        <v>21</v>
      </c>
      <c r="AC17" s="8" t="n">
        <v>21</v>
      </c>
      <c r="AD17" s="8" t="n">
        <v>21</v>
      </c>
      <c r="AE17" s="8" t="n">
        <v>21</v>
      </c>
      <c r="AF17" s="8" t="n">
        <v>21</v>
      </c>
      <c r="AG17" s="8" t="n">
        <v>35</v>
      </c>
      <c r="AH17" s="8" t="n">
        <v>35</v>
      </c>
      <c r="AI17" s="8" t="n">
        <v>35</v>
      </c>
      <c r="AJ17" s="8" t="n">
        <v>0</v>
      </c>
    </row>
    <row r="18" customFormat="false" ht="15" hidden="false" customHeight="false" outlineLevel="0" collapsed="false">
      <c r="A18" s="11" t="s">
        <v>75</v>
      </c>
      <c r="B18" s="8" t="s">
        <v>92</v>
      </c>
      <c r="C18" s="8" t="s">
        <v>75</v>
      </c>
      <c r="D18" s="8" t="n">
        <v>6</v>
      </c>
      <c r="E18" s="8" t="n">
        <v>50</v>
      </c>
      <c r="F18" s="8" t="n">
        <v>79</v>
      </c>
      <c r="G18" s="8" t="n">
        <v>0</v>
      </c>
      <c r="H18" s="8" t="n">
        <v>13.6</v>
      </c>
      <c r="I18" s="8" t="n">
        <v>31</v>
      </c>
      <c r="J18" s="8" t="n">
        <v>31</v>
      </c>
      <c r="K18" s="8" t="n">
        <v>31</v>
      </c>
      <c r="L18" s="8" t="n">
        <v>31</v>
      </c>
      <c r="M18" s="8" t="n">
        <v>31</v>
      </c>
      <c r="N18" s="8" t="n">
        <v>0</v>
      </c>
      <c r="O18" s="8" t="n">
        <v>31</v>
      </c>
      <c r="P18" s="8" t="n">
        <v>31</v>
      </c>
      <c r="Q18" s="8" t="n">
        <v>35</v>
      </c>
      <c r="R18" s="8" t="n">
        <v>35</v>
      </c>
      <c r="S18" s="8" t="n">
        <v>35</v>
      </c>
      <c r="T18" s="8" t="n">
        <v>33</v>
      </c>
      <c r="U18" s="8" t="n">
        <v>35</v>
      </c>
      <c r="V18" s="8" t="n">
        <v>0</v>
      </c>
      <c r="W18" s="8" t="n">
        <v>35</v>
      </c>
      <c r="X18" s="8" t="n">
        <v>35</v>
      </c>
      <c r="Y18" s="8" t="n">
        <v>13</v>
      </c>
      <c r="Z18" s="8" t="n">
        <v>13</v>
      </c>
      <c r="AA18" s="8" t="n">
        <v>13</v>
      </c>
      <c r="AB18" s="8" t="n">
        <v>13</v>
      </c>
      <c r="AC18" s="8" t="n">
        <v>13</v>
      </c>
      <c r="AD18" s="8" t="n">
        <v>13</v>
      </c>
      <c r="AE18" s="8" t="n">
        <v>13</v>
      </c>
      <c r="AF18" s="8" t="n">
        <v>13</v>
      </c>
      <c r="AG18" s="8" t="n">
        <v>35</v>
      </c>
      <c r="AH18" s="8" t="n">
        <v>35</v>
      </c>
      <c r="AI18" s="8" t="n">
        <v>35</v>
      </c>
      <c r="AJ18" s="8" t="n">
        <v>0</v>
      </c>
    </row>
    <row r="19" customFormat="false" ht="15" hidden="false" customHeight="false" outlineLevel="0" collapsed="false">
      <c r="A19" s="11" t="s">
        <v>75</v>
      </c>
      <c r="B19" s="8" t="s">
        <v>93</v>
      </c>
      <c r="C19" s="8" t="s">
        <v>75</v>
      </c>
      <c r="D19" s="8" t="n">
        <v>7</v>
      </c>
      <c r="E19" s="8" t="n">
        <v>50</v>
      </c>
      <c r="F19" s="8" t="n">
        <v>76</v>
      </c>
      <c r="G19" s="8" t="n">
        <v>0</v>
      </c>
      <c r="H19" s="8" t="n">
        <v>13.6</v>
      </c>
      <c r="I19" s="8" t="n">
        <v>34</v>
      </c>
      <c r="J19" s="8" t="n">
        <v>34</v>
      </c>
      <c r="K19" s="8" t="n">
        <v>34</v>
      </c>
      <c r="L19" s="8" t="n">
        <v>34</v>
      </c>
      <c r="M19" s="8" t="n">
        <v>34</v>
      </c>
      <c r="N19" s="8" t="n">
        <v>0</v>
      </c>
      <c r="O19" s="8" t="n">
        <v>34</v>
      </c>
      <c r="P19" s="8" t="n">
        <v>34</v>
      </c>
      <c r="Q19" s="8" t="n">
        <v>29</v>
      </c>
      <c r="R19" s="8" t="n">
        <v>29</v>
      </c>
      <c r="S19" s="8" t="n">
        <v>29</v>
      </c>
      <c r="T19" s="8" t="n">
        <v>27</v>
      </c>
      <c r="U19" s="8" t="n">
        <v>29</v>
      </c>
      <c r="V19" s="8" t="n">
        <v>0</v>
      </c>
      <c r="W19" s="8" t="n">
        <v>29</v>
      </c>
      <c r="X19" s="8" t="n">
        <v>29</v>
      </c>
      <c r="Y19" s="8" t="n">
        <v>13</v>
      </c>
      <c r="Z19" s="8" t="n">
        <v>13</v>
      </c>
      <c r="AA19" s="8" t="n">
        <v>13</v>
      </c>
      <c r="AB19" s="8" t="n">
        <v>13</v>
      </c>
      <c r="AC19" s="8" t="n">
        <v>13</v>
      </c>
      <c r="AD19" s="8" t="n">
        <v>13</v>
      </c>
      <c r="AE19" s="8" t="n">
        <v>13</v>
      </c>
      <c r="AF19" s="8" t="n">
        <v>13</v>
      </c>
      <c r="AG19" s="8" t="n">
        <v>36</v>
      </c>
      <c r="AH19" s="8" t="n">
        <v>36</v>
      </c>
      <c r="AI19" s="8" t="n">
        <v>36</v>
      </c>
      <c r="AJ19" s="8" t="n">
        <v>0</v>
      </c>
    </row>
    <row r="20" customFormat="false" ht="15" hidden="false" customHeight="false" outlineLevel="0" collapsed="false">
      <c r="A20" s="11" t="s">
        <v>75</v>
      </c>
      <c r="B20" s="8" t="s">
        <v>94</v>
      </c>
      <c r="C20" s="8" t="s">
        <v>75</v>
      </c>
      <c r="D20" s="8" t="n">
        <v>8</v>
      </c>
      <c r="E20" s="8" t="n">
        <v>50</v>
      </c>
      <c r="F20" s="8" t="n">
        <v>85</v>
      </c>
      <c r="G20" s="8" t="n">
        <v>0</v>
      </c>
      <c r="H20" s="8" t="n">
        <v>16.3</v>
      </c>
      <c r="I20" s="8" t="n">
        <v>25</v>
      </c>
      <c r="J20" s="8" t="n">
        <v>25</v>
      </c>
      <c r="K20" s="8" t="n">
        <v>25</v>
      </c>
      <c r="L20" s="8" t="n">
        <v>25</v>
      </c>
      <c r="M20" s="8" t="n">
        <v>25</v>
      </c>
      <c r="N20" s="8" t="n">
        <v>0</v>
      </c>
      <c r="O20" s="8" t="n">
        <v>25</v>
      </c>
      <c r="P20" s="8" t="n">
        <v>25</v>
      </c>
      <c r="Q20" s="8" t="n">
        <v>36</v>
      </c>
      <c r="R20" s="8" t="n">
        <v>36</v>
      </c>
      <c r="S20" s="8" t="n">
        <v>36</v>
      </c>
      <c r="T20" s="8" t="n">
        <v>36</v>
      </c>
      <c r="U20" s="8" t="n">
        <v>36</v>
      </c>
      <c r="V20" s="8" t="n">
        <v>0</v>
      </c>
      <c r="W20" s="8" t="n">
        <v>36</v>
      </c>
      <c r="X20" s="8" t="n">
        <v>36</v>
      </c>
      <c r="Y20" s="8" t="n">
        <v>24</v>
      </c>
      <c r="Z20" s="8" t="n">
        <v>24</v>
      </c>
      <c r="AA20" s="8" t="n">
        <v>24</v>
      </c>
      <c r="AB20" s="8" t="n">
        <v>24</v>
      </c>
      <c r="AC20" s="8" t="n">
        <v>24</v>
      </c>
      <c r="AD20" s="8" t="n">
        <v>24</v>
      </c>
      <c r="AE20" s="8" t="n">
        <v>24</v>
      </c>
      <c r="AF20" s="8" t="n">
        <v>24</v>
      </c>
      <c r="AG20" s="8" t="n">
        <v>34</v>
      </c>
      <c r="AH20" s="8" t="n">
        <v>34</v>
      </c>
      <c r="AI20" s="8" t="n">
        <v>34</v>
      </c>
      <c r="AJ20" s="8" t="n">
        <v>0</v>
      </c>
    </row>
    <row r="21" customFormat="false" ht="15" hidden="false" customHeight="false" outlineLevel="0" collapsed="false">
      <c r="A21" s="11" t="s">
        <v>75</v>
      </c>
      <c r="B21" s="8" t="s">
        <v>95</v>
      </c>
      <c r="C21" s="8" t="s">
        <v>75</v>
      </c>
      <c r="D21" s="8" t="n">
        <v>9</v>
      </c>
      <c r="E21" s="8" t="n">
        <v>50</v>
      </c>
      <c r="F21" s="8" t="n">
        <v>82</v>
      </c>
      <c r="G21" s="8" t="n">
        <v>0</v>
      </c>
      <c r="H21" s="8" t="n">
        <v>17</v>
      </c>
      <c r="I21" s="8" t="n">
        <v>28</v>
      </c>
      <c r="J21" s="8" t="n">
        <v>28</v>
      </c>
      <c r="K21" s="8" t="n">
        <v>28</v>
      </c>
      <c r="L21" s="8" t="n">
        <v>28</v>
      </c>
      <c r="M21" s="8" t="n">
        <v>28</v>
      </c>
      <c r="N21" s="8" t="n">
        <v>0</v>
      </c>
      <c r="O21" s="8" t="n">
        <v>28</v>
      </c>
      <c r="P21" s="8" t="n">
        <v>28</v>
      </c>
      <c r="Q21" s="8" t="n">
        <v>37</v>
      </c>
      <c r="R21" s="8" t="n">
        <v>37</v>
      </c>
      <c r="S21" s="8" t="n">
        <v>37</v>
      </c>
      <c r="T21" s="8" t="n">
        <v>36</v>
      </c>
      <c r="U21" s="8" t="n">
        <v>37</v>
      </c>
      <c r="V21" s="8" t="n">
        <v>0</v>
      </c>
      <c r="W21" s="8" t="n">
        <v>37</v>
      </c>
      <c r="X21" s="8" t="n">
        <v>37</v>
      </c>
      <c r="Y21" s="8" t="n">
        <v>17</v>
      </c>
      <c r="Z21" s="8" t="n">
        <v>17</v>
      </c>
      <c r="AA21" s="8" t="n">
        <v>17</v>
      </c>
      <c r="AB21" s="8" t="n">
        <v>17</v>
      </c>
      <c r="AC21" s="8" t="n">
        <v>17</v>
      </c>
      <c r="AD21" s="8" t="n">
        <v>17</v>
      </c>
      <c r="AE21" s="8" t="n">
        <v>17</v>
      </c>
      <c r="AF21" s="8" t="n">
        <v>17</v>
      </c>
      <c r="AG21" s="8" t="n">
        <v>36</v>
      </c>
      <c r="AH21" s="8" t="n">
        <v>36</v>
      </c>
      <c r="AI21" s="8" t="n">
        <v>36</v>
      </c>
      <c r="AJ21" s="8" t="n">
        <v>0</v>
      </c>
    </row>
    <row r="22" customFormat="false" ht="15" hidden="false" customHeight="false" outlineLevel="0" collapsed="false">
      <c r="A22" s="11" t="s">
        <v>75</v>
      </c>
      <c r="B22" s="8" t="s">
        <v>96</v>
      </c>
      <c r="C22" s="8" t="s">
        <v>75</v>
      </c>
      <c r="D22" s="8" t="n">
        <v>0</v>
      </c>
      <c r="E22" s="8" t="n">
        <v>200</v>
      </c>
      <c r="F22" s="8" t="n">
        <v>111</v>
      </c>
      <c r="G22" s="8" t="n">
        <v>0</v>
      </c>
      <c r="H22" s="8" t="n">
        <v>16.9</v>
      </c>
      <c r="I22" s="8" t="n">
        <v>73</v>
      </c>
      <c r="J22" s="8" t="n">
        <v>40</v>
      </c>
      <c r="K22" s="8" t="n">
        <v>40</v>
      </c>
      <c r="L22" s="8" t="n">
        <v>21</v>
      </c>
      <c r="M22" s="8" t="n">
        <v>40</v>
      </c>
      <c r="N22" s="8" t="n">
        <v>0</v>
      </c>
      <c r="O22" s="8" t="n">
        <v>21</v>
      </c>
      <c r="P22" s="8" t="n">
        <v>21</v>
      </c>
      <c r="Q22" s="8" t="n">
        <v>98</v>
      </c>
      <c r="R22" s="8" t="n">
        <v>55</v>
      </c>
      <c r="S22" s="8" t="n">
        <v>55</v>
      </c>
      <c r="T22" s="8" t="n">
        <v>30</v>
      </c>
      <c r="U22" s="8" t="n">
        <v>55</v>
      </c>
      <c r="V22" s="8" t="n">
        <v>0</v>
      </c>
      <c r="W22" s="8" t="n">
        <v>30</v>
      </c>
      <c r="X22" s="8" t="n">
        <v>30</v>
      </c>
      <c r="Y22" s="8" t="n">
        <v>16</v>
      </c>
      <c r="Z22" s="8" t="n">
        <v>16</v>
      </c>
      <c r="AA22" s="8" t="n">
        <v>16</v>
      </c>
      <c r="AB22" s="8" t="n">
        <v>16</v>
      </c>
      <c r="AC22" s="8" t="n">
        <v>16</v>
      </c>
      <c r="AD22" s="8" t="n">
        <v>16</v>
      </c>
      <c r="AE22" s="8" t="n">
        <v>16</v>
      </c>
      <c r="AF22" s="8" t="n">
        <v>16</v>
      </c>
      <c r="AG22" s="8" t="n">
        <v>37</v>
      </c>
      <c r="AH22" s="8" t="n">
        <v>37</v>
      </c>
      <c r="AI22" s="8" t="n">
        <v>37</v>
      </c>
      <c r="AJ22" s="8" t="n">
        <v>0</v>
      </c>
    </row>
    <row r="23" customFormat="false" ht="15" hidden="false" customHeight="false" outlineLevel="0" collapsed="false">
      <c r="A23" s="11" t="s">
        <v>75</v>
      </c>
      <c r="B23" s="8" t="s">
        <v>97</v>
      </c>
      <c r="C23" s="8" t="s">
        <v>75</v>
      </c>
      <c r="D23" s="8" t="n">
        <v>1</v>
      </c>
      <c r="E23" s="8" t="n">
        <v>200</v>
      </c>
      <c r="F23" s="8" t="n">
        <v>113</v>
      </c>
      <c r="G23" s="8" t="n">
        <v>0</v>
      </c>
      <c r="H23" s="8" t="n">
        <v>14.9</v>
      </c>
      <c r="I23" s="8" t="n">
        <v>75</v>
      </c>
      <c r="J23" s="8" t="n">
        <v>44</v>
      </c>
      <c r="K23" s="8" t="n">
        <v>44</v>
      </c>
      <c r="L23" s="8" t="n">
        <v>23</v>
      </c>
      <c r="M23" s="8" t="n">
        <v>44</v>
      </c>
      <c r="N23" s="8" t="n">
        <v>0</v>
      </c>
      <c r="O23" s="8" t="n">
        <v>23</v>
      </c>
      <c r="P23" s="8" t="n">
        <v>23</v>
      </c>
      <c r="Q23" s="8" t="n">
        <v>93</v>
      </c>
      <c r="R23" s="8" t="n">
        <v>52</v>
      </c>
      <c r="S23" s="8" t="n">
        <v>52</v>
      </c>
      <c r="T23" s="8" t="n">
        <v>25</v>
      </c>
      <c r="U23" s="8" t="n">
        <v>52</v>
      </c>
      <c r="V23" s="8" t="n">
        <v>0</v>
      </c>
      <c r="W23" s="8" t="n">
        <v>25</v>
      </c>
      <c r="X23" s="8" t="n">
        <v>25</v>
      </c>
      <c r="Y23" s="8" t="n">
        <v>17</v>
      </c>
      <c r="Z23" s="8" t="n">
        <v>17</v>
      </c>
      <c r="AA23" s="8" t="n">
        <v>17</v>
      </c>
      <c r="AB23" s="8" t="n">
        <v>17</v>
      </c>
      <c r="AC23" s="8" t="n">
        <v>17</v>
      </c>
      <c r="AD23" s="8" t="n">
        <v>17</v>
      </c>
      <c r="AE23" s="8" t="n">
        <v>17</v>
      </c>
      <c r="AF23" s="8" t="n">
        <v>17</v>
      </c>
      <c r="AG23" s="8" t="n">
        <v>34</v>
      </c>
      <c r="AH23" s="8" t="n">
        <v>34</v>
      </c>
      <c r="AI23" s="8" t="n">
        <v>34</v>
      </c>
      <c r="AJ23" s="8" t="n">
        <v>0</v>
      </c>
    </row>
    <row r="24" customFormat="false" ht="15" hidden="false" customHeight="false" outlineLevel="0" collapsed="false">
      <c r="A24" s="11" t="s">
        <v>75</v>
      </c>
      <c r="B24" s="8" t="s">
        <v>98</v>
      </c>
      <c r="C24" s="8" t="s">
        <v>75</v>
      </c>
      <c r="D24" s="8" t="n">
        <v>2</v>
      </c>
      <c r="E24" s="8" t="n">
        <v>200</v>
      </c>
      <c r="F24" s="8" t="n">
        <v>116</v>
      </c>
      <c r="G24" s="8" t="n">
        <v>0</v>
      </c>
      <c r="H24" s="8" t="n">
        <v>13.6</v>
      </c>
      <c r="I24" s="8" t="n">
        <v>75</v>
      </c>
      <c r="J24" s="8" t="n">
        <v>50</v>
      </c>
      <c r="K24" s="8" t="n">
        <v>50</v>
      </c>
      <c r="L24" s="8" t="n">
        <v>18</v>
      </c>
      <c r="M24" s="8" t="n">
        <v>50</v>
      </c>
      <c r="N24" s="8" t="n">
        <v>0</v>
      </c>
      <c r="O24" s="8" t="n">
        <v>18</v>
      </c>
      <c r="P24" s="8" t="n">
        <v>18</v>
      </c>
      <c r="Q24" s="8" t="n">
        <v>90</v>
      </c>
      <c r="R24" s="8" t="n">
        <v>46</v>
      </c>
      <c r="S24" s="8" t="n">
        <v>46</v>
      </c>
      <c r="T24" s="8" t="n">
        <v>21</v>
      </c>
      <c r="U24" s="8" t="n">
        <v>46</v>
      </c>
      <c r="V24" s="8" t="n">
        <v>0</v>
      </c>
      <c r="W24" s="8" t="n">
        <v>21</v>
      </c>
      <c r="X24" s="8" t="n">
        <v>21</v>
      </c>
      <c r="Y24" s="8" t="n">
        <v>20</v>
      </c>
      <c r="Z24" s="8" t="n">
        <v>20</v>
      </c>
      <c r="AA24" s="8" t="n">
        <v>20</v>
      </c>
      <c r="AB24" s="8" t="n">
        <v>20</v>
      </c>
      <c r="AC24" s="8" t="n">
        <v>20</v>
      </c>
      <c r="AD24" s="8" t="n">
        <v>20</v>
      </c>
      <c r="AE24" s="8" t="n">
        <v>20</v>
      </c>
      <c r="AF24" s="8" t="n">
        <v>20</v>
      </c>
      <c r="AG24" s="8" t="n">
        <v>34</v>
      </c>
      <c r="AH24" s="8" t="n">
        <v>34</v>
      </c>
      <c r="AI24" s="8" t="n">
        <v>34</v>
      </c>
      <c r="AJ24" s="8" t="n">
        <v>0</v>
      </c>
    </row>
    <row r="25" customFormat="false" ht="15" hidden="false" customHeight="false" outlineLevel="0" collapsed="false">
      <c r="A25" s="11" t="s">
        <v>75</v>
      </c>
      <c r="B25" s="8" t="s">
        <v>99</v>
      </c>
      <c r="C25" s="8" t="s">
        <v>75</v>
      </c>
      <c r="D25" s="8" t="n">
        <v>3</v>
      </c>
      <c r="E25" s="8" t="n">
        <v>200</v>
      </c>
      <c r="F25" s="8" t="n">
        <v>117</v>
      </c>
      <c r="G25" s="8" t="n">
        <v>0</v>
      </c>
      <c r="H25" s="8" t="n">
        <v>14.3</v>
      </c>
      <c r="I25" s="8" t="n">
        <v>82</v>
      </c>
      <c r="J25" s="8" t="n">
        <v>48</v>
      </c>
      <c r="K25" s="8" t="n">
        <v>48</v>
      </c>
      <c r="L25" s="8" t="n">
        <v>32</v>
      </c>
      <c r="M25" s="8" t="n">
        <v>48</v>
      </c>
      <c r="N25" s="8" t="n">
        <v>0</v>
      </c>
      <c r="O25" s="8" t="n">
        <v>32</v>
      </c>
      <c r="P25" s="8" t="n">
        <v>32</v>
      </c>
      <c r="Q25" s="8" t="n">
        <v>80</v>
      </c>
      <c r="R25" s="8" t="n">
        <v>53</v>
      </c>
      <c r="S25" s="8" t="n">
        <v>53</v>
      </c>
      <c r="T25" s="8" t="n">
        <v>35</v>
      </c>
      <c r="U25" s="8" t="n">
        <v>53</v>
      </c>
      <c r="V25" s="8" t="n">
        <v>0</v>
      </c>
      <c r="W25" s="8" t="n">
        <v>35</v>
      </c>
      <c r="X25" s="8" t="n">
        <v>35</v>
      </c>
      <c r="Y25" s="8" t="n">
        <v>16</v>
      </c>
      <c r="Z25" s="8" t="n">
        <v>16</v>
      </c>
      <c r="AA25" s="8" t="n">
        <v>16</v>
      </c>
      <c r="AB25" s="8" t="n">
        <v>16</v>
      </c>
      <c r="AC25" s="8" t="n">
        <v>16</v>
      </c>
      <c r="AD25" s="8" t="n">
        <v>16</v>
      </c>
      <c r="AE25" s="8" t="n">
        <v>16</v>
      </c>
      <c r="AF25" s="8" t="n">
        <v>16</v>
      </c>
      <c r="AG25" s="8" t="n">
        <v>35</v>
      </c>
      <c r="AH25" s="8" t="n">
        <v>35</v>
      </c>
      <c r="AI25" s="8" t="n">
        <v>35</v>
      </c>
      <c r="AJ25" s="8" t="n">
        <v>0</v>
      </c>
    </row>
    <row r="26" customFormat="false" ht="15" hidden="false" customHeight="false" outlineLevel="0" collapsed="false">
      <c r="A26" s="11" t="s">
        <v>75</v>
      </c>
      <c r="B26" s="8" t="s">
        <v>100</v>
      </c>
      <c r="C26" s="8" t="s">
        <v>75</v>
      </c>
      <c r="D26" s="8" t="n">
        <v>4</v>
      </c>
      <c r="E26" s="8" t="n">
        <v>200</v>
      </c>
      <c r="F26" s="8" t="n">
        <v>111</v>
      </c>
      <c r="G26" s="8" t="n">
        <v>0</v>
      </c>
      <c r="H26" s="8" t="n">
        <v>14.4</v>
      </c>
      <c r="I26" s="8" t="n">
        <v>78</v>
      </c>
      <c r="J26" s="8" t="n">
        <v>39</v>
      </c>
      <c r="K26" s="8" t="n">
        <v>39</v>
      </c>
      <c r="L26" s="8" t="n">
        <v>17</v>
      </c>
      <c r="M26" s="8" t="n">
        <v>39</v>
      </c>
      <c r="N26" s="8" t="n">
        <v>0</v>
      </c>
      <c r="O26" s="8" t="n">
        <v>17</v>
      </c>
      <c r="P26" s="8" t="n">
        <v>17</v>
      </c>
      <c r="Q26" s="8" t="n">
        <v>83</v>
      </c>
      <c r="R26" s="8" t="n">
        <v>51</v>
      </c>
      <c r="S26" s="8" t="n">
        <v>51</v>
      </c>
      <c r="T26" s="8" t="n">
        <v>19</v>
      </c>
      <c r="U26" s="8" t="n">
        <v>51</v>
      </c>
      <c r="V26" s="8" t="n">
        <v>0</v>
      </c>
      <c r="W26" s="8" t="n">
        <v>19</v>
      </c>
      <c r="X26" s="8" t="n">
        <v>19</v>
      </c>
      <c r="Y26" s="8" t="n">
        <v>21</v>
      </c>
      <c r="Z26" s="8" t="n">
        <v>21</v>
      </c>
      <c r="AA26" s="8" t="n">
        <v>21</v>
      </c>
      <c r="AB26" s="8" t="n">
        <v>21</v>
      </c>
      <c r="AC26" s="8" t="n">
        <v>21</v>
      </c>
      <c r="AD26" s="8" t="n">
        <v>21</v>
      </c>
      <c r="AE26" s="8" t="n">
        <v>21</v>
      </c>
      <c r="AF26" s="8" t="n">
        <v>21</v>
      </c>
      <c r="AG26" s="8" t="n">
        <v>34</v>
      </c>
      <c r="AH26" s="8" t="n">
        <v>34</v>
      </c>
      <c r="AI26" s="8" t="n">
        <v>34</v>
      </c>
      <c r="AJ26" s="8" t="n">
        <v>0</v>
      </c>
    </row>
    <row r="27" customFormat="false" ht="15" hidden="false" customHeight="false" outlineLevel="0" collapsed="false">
      <c r="A27" s="11" t="s">
        <v>75</v>
      </c>
      <c r="B27" s="8" t="s">
        <v>101</v>
      </c>
      <c r="C27" s="8" t="s">
        <v>75</v>
      </c>
      <c r="D27" s="8" t="n">
        <v>5</v>
      </c>
      <c r="E27" s="8" t="n">
        <v>200</v>
      </c>
      <c r="F27" s="8" t="n">
        <v>137</v>
      </c>
      <c r="G27" s="8" t="n">
        <v>0</v>
      </c>
      <c r="H27" s="8" t="n">
        <v>17.7</v>
      </c>
      <c r="I27" s="8" t="n">
        <v>70</v>
      </c>
      <c r="J27" s="8" t="n">
        <v>45</v>
      </c>
      <c r="K27" s="8" t="n">
        <v>45</v>
      </c>
      <c r="L27" s="8" t="n">
        <v>27</v>
      </c>
      <c r="M27" s="8" t="n">
        <v>45</v>
      </c>
      <c r="N27" s="8" t="n">
        <v>0</v>
      </c>
      <c r="O27" s="8" t="n">
        <v>27</v>
      </c>
      <c r="P27" s="8" t="n">
        <v>27</v>
      </c>
      <c r="Q27" s="8" t="n">
        <v>97</v>
      </c>
      <c r="R27" s="8" t="n">
        <v>69</v>
      </c>
      <c r="S27" s="8" t="n">
        <v>69</v>
      </c>
      <c r="T27" s="8" t="n">
        <v>44</v>
      </c>
      <c r="U27" s="8" t="n">
        <v>69</v>
      </c>
      <c r="V27" s="8" t="n">
        <v>0</v>
      </c>
      <c r="W27" s="8" t="n">
        <v>44</v>
      </c>
      <c r="X27" s="8" t="n">
        <v>44</v>
      </c>
      <c r="Y27" s="8" t="n">
        <v>23</v>
      </c>
      <c r="Z27" s="8" t="n">
        <v>23</v>
      </c>
      <c r="AA27" s="8" t="n">
        <v>23</v>
      </c>
      <c r="AB27" s="8" t="n">
        <v>23</v>
      </c>
      <c r="AC27" s="8" t="n">
        <v>23</v>
      </c>
      <c r="AD27" s="8" t="n">
        <v>23</v>
      </c>
      <c r="AE27" s="8" t="n">
        <v>23</v>
      </c>
      <c r="AF27" s="8" t="n">
        <v>23</v>
      </c>
      <c r="AG27" s="8" t="n">
        <v>35</v>
      </c>
      <c r="AH27" s="8" t="n">
        <v>35</v>
      </c>
      <c r="AI27" s="8" t="n">
        <v>35</v>
      </c>
      <c r="AJ27" s="8" t="n">
        <v>0</v>
      </c>
    </row>
    <row r="28" customFormat="false" ht="15" hidden="false" customHeight="false" outlineLevel="0" collapsed="false">
      <c r="A28" s="11" t="s">
        <v>75</v>
      </c>
      <c r="B28" s="8" t="s">
        <v>102</v>
      </c>
      <c r="C28" s="8" t="s">
        <v>75</v>
      </c>
      <c r="D28" s="8" t="n">
        <v>6</v>
      </c>
      <c r="E28" s="8" t="n">
        <v>200</v>
      </c>
      <c r="F28" s="8" t="n">
        <v>126</v>
      </c>
      <c r="G28" s="8" t="n">
        <v>0</v>
      </c>
      <c r="H28" s="8" t="n">
        <v>22.1</v>
      </c>
      <c r="I28" s="8" t="n">
        <v>73</v>
      </c>
      <c r="J28" s="8" t="n">
        <v>45</v>
      </c>
      <c r="K28" s="8" t="n">
        <v>45</v>
      </c>
      <c r="L28" s="8" t="n">
        <v>33</v>
      </c>
      <c r="M28" s="8" t="n">
        <v>45</v>
      </c>
      <c r="N28" s="8" t="n">
        <v>0</v>
      </c>
      <c r="O28" s="8" t="n">
        <v>33</v>
      </c>
      <c r="P28" s="8" t="n">
        <v>33</v>
      </c>
      <c r="Q28" s="8" t="n">
        <v>92</v>
      </c>
      <c r="R28" s="8" t="n">
        <v>59</v>
      </c>
      <c r="S28" s="8" t="n">
        <v>59</v>
      </c>
      <c r="T28" s="8" t="n">
        <v>37</v>
      </c>
      <c r="U28" s="8" t="n">
        <v>59</v>
      </c>
      <c r="V28" s="8" t="n">
        <v>0</v>
      </c>
      <c r="W28" s="8" t="n">
        <v>37</v>
      </c>
      <c r="X28" s="8" t="n">
        <v>37</v>
      </c>
      <c r="Y28" s="8" t="n">
        <v>22</v>
      </c>
      <c r="Z28" s="8" t="n">
        <v>22</v>
      </c>
      <c r="AA28" s="8" t="n">
        <v>22</v>
      </c>
      <c r="AB28" s="8" t="n">
        <v>22</v>
      </c>
      <c r="AC28" s="8" t="n">
        <v>22</v>
      </c>
      <c r="AD28" s="8" t="n">
        <v>22</v>
      </c>
      <c r="AE28" s="8" t="n">
        <v>22</v>
      </c>
      <c r="AF28" s="8" t="n">
        <v>22</v>
      </c>
      <c r="AG28" s="8" t="n">
        <v>35</v>
      </c>
      <c r="AH28" s="8" t="n">
        <v>35</v>
      </c>
      <c r="AI28" s="8" t="n">
        <v>35</v>
      </c>
      <c r="AJ28" s="8" t="n">
        <v>0</v>
      </c>
    </row>
    <row r="29" customFormat="false" ht="15" hidden="false" customHeight="false" outlineLevel="0" collapsed="false">
      <c r="A29" s="11" t="s">
        <v>75</v>
      </c>
      <c r="B29" s="8" t="s">
        <v>103</v>
      </c>
      <c r="C29" s="8" t="s">
        <v>75</v>
      </c>
      <c r="D29" s="8" t="n">
        <v>7</v>
      </c>
      <c r="E29" s="8" t="n">
        <v>200</v>
      </c>
      <c r="F29" s="8" t="n">
        <v>117</v>
      </c>
      <c r="G29" s="8" t="n">
        <v>0</v>
      </c>
      <c r="H29" s="8" t="n">
        <v>13.1</v>
      </c>
      <c r="I29" s="8" t="n">
        <v>89</v>
      </c>
      <c r="J29" s="8" t="n">
        <v>54</v>
      </c>
      <c r="K29" s="8" t="n">
        <v>54</v>
      </c>
      <c r="L29" s="8" t="n">
        <v>27</v>
      </c>
      <c r="M29" s="8" t="n">
        <v>54</v>
      </c>
      <c r="N29" s="8" t="n">
        <v>0</v>
      </c>
      <c r="O29" s="8" t="n">
        <v>27</v>
      </c>
      <c r="P29" s="8" t="n">
        <v>27</v>
      </c>
      <c r="Q29" s="8" t="n">
        <v>67</v>
      </c>
      <c r="R29" s="8" t="n">
        <v>48</v>
      </c>
      <c r="S29" s="8" t="n">
        <v>48</v>
      </c>
      <c r="T29" s="8" t="n">
        <v>33</v>
      </c>
      <c r="U29" s="8" t="n">
        <v>48</v>
      </c>
      <c r="V29" s="8" t="n">
        <v>0</v>
      </c>
      <c r="W29" s="8" t="n">
        <v>35</v>
      </c>
      <c r="X29" s="8" t="n">
        <v>35</v>
      </c>
      <c r="Y29" s="8" t="n">
        <v>15</v>
      </c>
      <c r="Z29" s="8" t="n">
        <v>15</v>
      </c>
      <c r="AA29" s="8" t="n">
        <v>15</v>
      </c>
      <c r="AB29" s="8" t="n">
        <v>15</v>
      </c>
      <c r="AC29" s="8" t="n">
        <v>15</v>
      </c>
      <c r="AD29" s="8" t="n">
        <v>15</v>
      </c>
      <c r="AE29" s="8" t="n">
        <v>15</v>
      </c>
      <c r="AF29" s="8" t="n">
        <v>15</v>
      </c>
      <c r="AG29" s="8" t="n">
        <v>36</v>
      </c>
      <c r="AH29" s="8" t="n">
        <v>36</v>
      </c>
      <c r="AI29" s="8" t="n">
        <v>36</v>
      </c>
      <c r="AJ29" s="8" t="n">
        <v>0</v>
      </c>
    </row>
    <row r="30" customFormat="false" ht="15" hidden="false" customHeight="false" outlineLevel="0" collapsed="false">
      <c r="A30" s="11" t="s">
        <v>75</v>
      </c>
      <c r="B30" s="8" t="s">
        <v>104</v>
      </c>
      <c r="C30" s="8" t="s">
        <v>75</v>
      </c>
      <c r="D30" s="8" t="n">
        <v>8</v>
      </c>
      <c r="E30" s="8" t="n">
        <v>200</v>
      </c>
      <c r="F30" s="8" t="n">
        <v>137</v>
      </c>
      <c r="G30" s="8" t="n">
        <v>0</v>
      </c>
      <c r="H30" s="8" t="n">
        <v>19.6</v>
      </c>
      <c r="I30" s="8" t="n">
        <v>67</v>
      </c>
      <c r="J30" s="8" t="n">
        <v>45</v>
      </c>
      <c r="K30" s="8" t="n">
        <v>45</v>
      </c>
      <c r="L30" s="8" t="n">
        <v>29</v>
      </c>
      <c r="M30" s="8" t="n">
        <v>45</v>
      </c>
      <c r="N30" s="8" t="n">
        <v>0</v>
      </c>
      <c r="O30" s="8" t="n">
        <v>29</v>
      </c>
      <c r="P30" s="8" t="n">
        <v>29</v>
      </c>
      <c r="Q30" s="8" t="n">
        <v>103</v>
      </c>
      <c r="R30" s="8" t="n">
        <v>69</v>
      </c>
      <c r="S30" s="8" t="n">
        <v>69</v>
      </c>
      <c r="T30" s="8" t="n">
        <v>42</v>
      </c>
      <c r="U30" s="8" t="n">
        <v>69</v>
      </c>
      <c r="V30" s="8" t="n">
        <v>0</v>
      </c>
      <c r="W30" s="8" t="n">
        <v>44</v>
      </c>
      <c r="X30" s="8" t="n">
        <v>44</v>
      </c>
      <c r="Y30" s="8" t="n">
        <v>23</v>
      </c>
      <c r="Z30" s="8" t="n">
        <v>23</v>
      </c>
      <c r="AA30" s="8" t="n">
        <v>23</v>
      </c>
      <c r="AB30" s="8" t="n">
        <v>23</v>
      </c>
      <c r="AC30" s="8" t="n">
        <v>23</v>
      </c>
      <c r="AD30" s="8" t="n">
        <v>23</v>
      </c>
      <c r="AE30" s="8" t="n">
        <v>23</v>
      </c>
      <c r="AF30" s="8" t="n">
        <v>23</v>
      </c>
      <c r="AG30" s="8" t="n">
        <v>34</v>
      </c>
      <c r="AH30" s="8" t="n">
        <v>34</v>
      </c>
      <c r="AI30" s="8" t="n">
        <v>34</v>
      </c>
      <c r="AJ30" s="8" t="n">
        <v>0</v>
      </c>
    </row>
    <row r="31" customFormat="false" ht="15" hidden="false" customHeight="false" outlineLevel="0" collapsed="false">
      <c r="A31" s="11" t="s">
        <v>75</v>
      </c>
      <c r="B31" s="8" t="s">
        <v>105</v>
      </c>
      <c r="C31" s="8" t="s">
        <v>75</v>
      </c>
      <c r="D31" s="8" t="n">
        <v>9</v>
      </c>
      <c r="E31" s="8" t="n">
        <v>200</v>
      </c>
      <c r="F31" s="8" t="n">
        <v>121</v>
      </c>
      <c r="G31" s="8" t="n">
        <v>0</v>
      </c>
      <c r="H31" s="8" t="n">
        <v>14.6</v>
      </c>
      <c r="I31" s="8" t="n">
        <v>67</v>
      </c>
      <c r="J31" s="8" t="n">
        <v>47</v>
      </c>
      <c r="K31" s="8" t="n">
        <v>47</v>
      </c>
      <c r="L31" s="8" t="n">
        <v>29</v>
      </c>
      <c r="M31" s="8" t="n">
        <v>47</v>
      </c>
      <c r="N31" s="8" t="n">
        <v>0</v>
      </c>
      <c r="O31" s="8" t="n">
        <v>29</v>
      </c>
      <c r="P31" s="8" t="n">
        <v>29</v>
      </c>
      <c r="Q31" s="8" t="n">
        <v>107</v>
      </c>
      <c r="R31" s="8" t="n">
        <v>55</v>
      </c>
      <c r="S31" s="8" t="n">
        <v>55</v>
      </c>
      <c r="T31" s="8" t="n">
        <v>37</v>
      </c>
      <c r="U31" s="8" t="n">
        <v>55</v>
      </c>
      <c r="V31" s="8" t="n">
        <v>0</v>
      </c>
      <c r="W31" s="8" t="n">
        <v>37</v>
      </c>
      <c r="X31" s="8" t="n">
        <v>37</v>
      </c>
      <c r="Y31" s="8" t="n">
        <v>19</v>
      </c>
      <c r="Z31" s="8" t="n">
        <v>19</v>
      </c>
      <c r="AA31" s="8" t="n">
        <v>19</v>
      </c>
      <c r="AB31" s="8" t="n">
        <v>19</v>
      </c>
      <c r="AC31" s="8" t="n">
        <v>19</v>
      </c>
      <c r="AD31" s="8" t="n">
        <v>19</v>
      </c>
      <c r="AE31" s="8" t="n">
        <v>19</v>
      </c>
      <c r="AF31" s="8" t="n">
        <v>19</v>
      </c>
      <c r="AG31" s="8" t="n">
        <v>36</v>
      </c>
      <c r="AH31" s="8" t="n">
        <v>36</v>
      </c>
      <c r="AI31" s="8" t="n">
        <v>36</v>
      </c>
      <c r="AJ31" s="8" t="n">
        <v>0</v>
      </c>
    </row>
    <row r="32" customFormat="false" ht="15" hidden="false" customHeight="false" outlineLevel="0" collapsed="false">
      <c r="A32" s="11" t="s">
        <v>75</v>
      </c>
      <c r="B32" s="8" t="s">
        <v>106</v>
      </c>
      <c r="C32" s="8" t="s">
        <v>75</v>
      </c>
      <c r="D32" s="8" t="n">
        <v>0</v>
      </c>
      <c r="E32" s="8" t="n">
        <v>800</v>
      </c>
      <c r="F32" s="8" t="n">
        <v>160</v>
      </c>
      <c r="G32" s="8" t="n">
        <v>2</v>
      </c>
      <c r="H32" s="8" t="n">
        <v>14</v>
      </c>
      <c r="I32" s="8" t="n">
        <v>248</v>
      </c>
      <c r="J32" s="8" t="n">
        <v>50</v>
      </c>
      <c r="K32" s="8" t="n">
        <v>50</v>
      </c>
      <c r="L32" s="8" t="n">
        <v>31</v>
      </c>
      <c r="M32" s="8" t="n">
        <v>49</v>
      </c>
      <c r="N32" s="8" t="n">
        <v>0</v>
      </c>
      <c r="O32" s="8" t="n">
        <v>32</v>
      </c>
      <c r="P32" s="8" t="n">
        <v>30</v>
      </c>
      <c r="Q32" s="8" t="n">
        <v>349</v>
      </c>
      <c r="R32" s="8" t="n">
        <v>89</v>
      </c>
      <c r="S32" s="8" t="n">
        <v>89</v>
      </c>
      <c r="T32" s="8" t="n">
        <v>51</v>
      </c>
      <c r="U32" s="8" t="n">
        <v>87</v>
      </c>
      <c r="V32" s="8" t="n">
        <v>0</v>
      </c>
      <c r="W32" s="8" t="n">
        <v>56</v>
      </c>
      <c r="X32" s="8" t="n">
        <v>51</v>
      </c>
      <c r="Y32" s="8" t="n">
        <v>15</v>
      </c>
      <c r="Z32" s="8" t="n">
        <v>15</v>
      </c>
      <c r="AA32" s="8" t="n">
        <v>15</v>
      </c>
      <c r="AB32" s="8" t="n">
        <v>15</v>
      </c>
      <c r="AC32" s="8" t="n">
        <v>15</v>
      </c>
      <c r="AD32" s="8" t="n">
        <v>15</v>
      </c>
      <c r="AE32" s="8" t="n">
        <v>15</v>
      </c>
      <c r="AF32" s="8" t="n">
        <v>15</v>
      </c>
      <c r="AG32" s="8" t="n">
        <v>37</v>
      </c>
      <c r="AH32" s="8" t="n">
        <v>26</v>
      </c>
      <c r="AI32" s="8" t="n">
        <v>26</v>
      </c>
      <c r="AJ32" s="8" t="n">
        <v>0</v>
      </c>
    </row>
    <row r="33" customFormat="false" ht="15" hidden="false" customHeight="false" outlineLevel="0" collapsed="false">
      <c r="A33" s="11" t="s">
        <v>75</v>
      </c>
      <c r="B33" s="8" t="s">
        <v>107</v>
      </c>
      <c r="C33" s="8" t="s">
        <v>75</v>
      </c>
      <c r="D33" s="8" t="n">
        <v>1</v>
      </c>
      <c r="E33" s="8" t="n">
        <v>800</v>
      </c>
      <c r="F33" s="8" t="n">
        <v>146</v>
      </c>
      <c r="G33" s="8" t="n">
        <v>4</v>
      </c>
      <c r="H33" s="8" t="n">
        <v>13.2</v>
      </c>
      <c r="I33" s="8" t="n">
        <v>263</v>
      </c>
      <c r="J33" s="8" t="n">
        <v>54</v>
      </c>
      <c r="K33" s="8" t="n">
        <v>54</v>
      </c>
      <c r="L33" s="8" t="n">
        <v>29</v>
      </c>
      <c r="M33" s="8" t="n">
        <v>53</v>
      </c>
      <c r="N33" s="8" t="n">
        <v>0</v>
      </c>
      <c r="O33" s="8" t="n">
        <v>29</v>
      </c>
      <c r="P33" s="8" t="n">
        <v>27</v>
      </c>
      <c r="Q33" s="8" t="n">
        <v>322</v>
      </c>
      <c r="R33" s="8" t="n">
        <v>73</v>
      </c>
      <c r="S33" s="8" t="n">
        <v>73</v>
      </c>
      <c r="T33" s="8" t="n">
        <v>25</v>
      </c>
      <c r="U33" s="8" t="n">
        <v>70</v>
      </c>
      <c r="V33" s="8" t="n">
        <v>0</v>
      </c>
      <c r="W33" s="8" t="n">
        <v>27</v>
      </c>
      <c r="X33" s="8" t="n">
        <v>22</v>
      </c>
      <c r="Y33" s="8" t="n">
        <v>12</v>
      </c>
      <c r="Z33" s="8" t="n">
        <v>12</v>
      </c>
      <c r="AA33" s="8" t="n">
        <v>12</v>
      </c>
      <c r="AB33" s="8" t="n">
        <v>12</v>
      </c>
      <c r="AC33" s="8" t="n">
        <v>12</v>
      </c>
      <c r="AD33" s="8" t="n">
        <v>12</v>
      </c>
      <c r="AE33" s="8" t="n">
        <v>12</v>
      </c>
      <c r="AF33" s="8" t="n">
        <v>12</v>
      </c>
      <c r="AG33" s="8" t="n">
        <v>34</v>
      </c>
      <c r="AH33" s="8" t="n">
        <v>24</v>
      </c>
      <c r="AI33" s="8" t="n">
        <v>24</v>
      </c>
      <c r="AJ33" s="8" t="n">
        <v>0</v>
      </c>
    </row>
    <row r="34" customFormat="false" ht="15" hidden="false" customHeight="false" outlineLevel="0" collapsed="false">
      <c r="A34" s="11" t="s">
        <v>75</v>
      </c>
      <c r="B34" s="8" t="s">
        <v>108</v>
      </c>
      <c r="C34" s="8" t="s">
        <v>75</v>
      </c>
      <c r="D34" s="8" t="n">
        <v>2</v>
      </c>
      <c r="E34" s="8" t="n">
        <v>800</v>
      </c>
      <c r="F34" s="8" t="n">
        <v>148</v>
      </c>
      <c r="G34" s="8" t="n">
        <v>4</v>
      </c>
      <c r="H34" s="8" t="n">
        <v>13.7</v>
      </c>
      <c r="I34" s="8" t="n">
        <v>239</v>
      </c>
      <c r="J34" s="8" t="n">
        <v>47</v>
      </c>
      <c r="K34" s="8" t="n">
        <v>47</v>
      </c>
      <c r="L34" s="8" t="n">
        <v>27</v>
      </c>
      <c r="M34" s="8" t="n">
        <v>47</v>
      </c>
      <c r="N34" s="8" t="n">
        <v>0</v>
      </c>
      <c r="O34" s="8" t="n">
        <v>27</v>
      </c>
      <c r="P34" s="8" t="n">
        <v>27</v>
      </c>
      <c r="Q34" s="8" t="n">
        <v>360</v>
      </c>
      <c r="R34" s="8" t="n">
        <v>72</v>
      </c>
      <c r="S34" s="8" t="n">
        <v>72</v>
      </c>
      <c r="T34" s="8" t="n">
        <v>27</v>
      </c>
      <c r="U34" s="8" t="n">
        <v>70</v>
      </c>
      <c r="V34" s="8" t="n">
        <v>0</v>
      </c>
      <c r="W34" s="8" t="n">
        <v>28</v>
      </c>
      <c r="X34" s="8" t="n">
        <v>26</v>
      </c>
      <c r="Y34" s="8" t="n">
        <v>22</v>
      </c>
      <c r="Z34" s="8" t="n">
        <v>22</v>
      </c>
      <c r="AA34" s="8" t="n">
        <v>22</v>
      </c>
      <c r="AB34" s="8" t="n">
        <v>22</v>
      </c>
      <c r="AC34" s="8" t="n">
        <v>22</v>
      </c>
      <c r="AD34" s="8" t="n">
        <v>22</v>
      </c>
      <c r="AE34" s="8" t="n">
        <v>22</v>
      </c>
      <c r="AF34" s="8" t="n">
        <v>22</v>
      </c>
      <c r="AG34" s="8" t="n">
        <v>34</v>
      </c>
      <c r="AH34" s="8" t="n">
        <v>22</v>
      </c>
      <c r="AI34" s="8" t="n">
        <v>22</v>
      </c>
      <c r="AJ34" s="8" t="n">
        <v>0</v>
      </c>
    </row>
    <row r="35" customFormat="false" ht="15" hidden="false" customHeight="false" outlineLevel="0" collapsed="false">
      <c r="A35" s="11" t="s">
        <v>75</v>
      </c>
      <c r="B35" s="8" t="s">
        <v>109</v>
      </c>
      <c r="C35" s="8" t="s">
        <v>75</v>
      </c>
      <c r="D35" s="8" t="n">
        <v>3</v>
      </c>
      <c r="E35" s="8" t="n">
        <v>800</v>
      </c>
      <c r="F35" s="8" t="n">
        <v>147</v>
      </c>
      <c r="G35" s="8" t="n">
        <v>3</v>
      </c>
      <c r="H35" s="8" t="n">
        <v>18</v>
      </c>
      <c r="I35" s="8" t="n">
        <v>265</v>
      </c>
      <c r="J35" s="8" t="n">
        <v>68</v>
      </c>
      <c r="K35" s="8" t="n">
        <v>68</v>
      </c>
      <c r="L35" s="8" t="n">
        <v>34</v>
      </c>
      <c r="M35" s="8" t="n">
        <v>66</v>
      </c>
      <c r="N35" s="8" t="n">
        <v>0</v>
      </c>
      <c r="O35" s="8" t="n">
        <v>35</v>
      </c>
      <c r="P35" s="8" t="n">
        <v>33</v>
      </c>
      <c r="Q35" s="8" t="n">
        <v>316</v>
      </c>
      <c r="R35" s="8" t="n">
        <v>59</v>
      </c>
      <c r="S35" s="8" t="n">
        <v>59</v>
      </c>
      <c r="T35" s="8" t="n">
        <v>23</v>
      </c>
      <c r="U35" s="8" t="n">
        <v>56</v>
      </c>
      <c r="V35" s="8" t="n">
        <v>0</v>
      </c>
      <c r="W35" s="8" t="n">
        <v>25</v>
      </c>
      <c r="X35" s="8" t="n">
        <v>19</v>
      </c>
      <c r="Y35" s="8" t="n">
        <v>14</v>
      </c>
      <c r="Z35" s="8" t="n">
        <v>14</v>
      </c>
      <c r="AA35" s="8" t="n">
        <v>14</v>
      </c>
      <c r="AB35" s="8" t="n">
        <v>14</v>
      </c>
      <c r="AC35" s="8" t="n">
        <v>14</v>
      </c>
      <c r="AD35" s="8" t="n">
        <v>14</v>
      </c>
      <c r="AE35" s="8" t="n">
        <v>14</v>
      </c>
      <c r="AF35" s="8" t="n">
        <v>14</v>
      </c>
      <c r="AG35" s="8" t="n">
        <v>35</v>
      </c>
      <c r="AH35" s="8" t="n">
        <v>23</v>
      </c>
      <c r="AI35" s="8" t="n">
        <v>23</v>
      </c>
      <c r="AJ35" s="8" t="n">
        <v>0</v>
      </c>
    </row>
    <row r="36" customFormat="false" ht="15" hidden="false" customHeight="false" outlineLevel="0" collapsed="false">
      <c r="A36" s="11" t="s">
        <v>75</v>
      </c>
      <c r="B36" s="8" t="s">
        <v>110</v>
      </c>
      <c r="C36" s="8" t="s">
        <v>75</v>
      </c>
      <c r="D36" s="8" t="n">
        <v>4</v>
      </c>
      <c r="E36" s="8" t="n">
        <v>800</v>
      </c>
      <c r="F36" s="8" t="n">
        <v>156</v>
      </c>
      <c r="G36" s="8" t="n">
        <v>3</v>
      </c>
      <c r="H36" s="8" t="n">
        <v>14.2</v>
      </c>
      <c r="I36" s="8" t="n">
        <v>254</v>
      </c>
      <c r="J36" s="8" t="n">
        <v>59</v>
      </c>
      <c r="K36" s="8" t="n">
        <v>59</v>
      </c>
      <c r="L36" s="8" t="n">
        <v>31</v>
      </c>
      <c r="M36" s="8" t="n">
        <v>57</v>
      </c>
      <c r="N36" s="8" t="n">
        <v>0</v>
      </c>
      <c r="O36" s="8" t="n">
        <v>33</v>
      </c>
      <c r="P36" s="8" t="n">
        <v>31</v>
      </c>
      <c r="Q36" s="8" t="n">
        <v>332</v>
      </c>
      <c r="R36" s="8" t="n">
        <v>71</v>
      </c>
      <c r="S36" s="8" t="n">
        <v>71</v>
      </c>
      <c r="T36" s="8" t="n">
        <v>35</v>
      </c>
      <c r="U36" s="8" t="n">
        <v>68</v>
      </c>
      <c r="V36" s="8" t="n">
        <v>0</v>
      </c>
      <c r="W36" s="8" t="n">
        <v>37</v>
      </c>
      <c r="X36" s="8" t="n">
        <v>32</v>
      </c>
      <c r="Y36" s="8" t="n">
        <v>20</v>
      </c>
      <c r="Z36" s="8" t="n">
        <v>20</v>
      </c>
      <c r="AA36" s="8" t="n">
        <v>20</v>
      </c>
      <c r="AB36" s="8" t="n">
        <v>20</v>
      </c>
      <c r="AC36" s="8" t="n">
        <v>20</v>
      </c>
      <c r="AD36" s="8" t="n">
        <v>20</v>
      </c>
      <c r="AE36" s="8" t="n">
        <v>20</v>
      </c>
      <c r="AF36" s="8" t="n">
        <v>20</v>
      </c>
      <c r="AG36" s="8" t="n">
        <v>34</v>
      </c>
      <c r="AH36" s="8" t="n">
        <v>23</v>
      </c>
      <c r="AI36" s="8" t="n">
        <v>23</v>
      </c>
      <c r="AJ36" s="8" t="n">
        <v>0</v>
      </c>
    </row>
    <row r="37" customFormat="false" ht="15" hidden="false" customHeight="false" outlineLevel="0" collapsed="false">
      <c r="A37" s="11" t="s">
        <v>75</v>
      </c>
      <c r="B37" s="8" t="s">
        <v>111</v>
      </c>
      <c r="C37" s="8" t="s">
        <v>75</v>
      </c>
      <c r="D37" s="8" t="n">
        <v>5</v>
      </c>
      <c r="E37" s="8" t="n">
        <v>800</v>
      </c>
      <c r="F37" s="8" t="n">
        <v>156</v>
      </c>
      <c r="G37" s="8" t="n">
        <v>4</v>
      </c>
      <c r="H37" s="8" t="n">
        <v>13.7</v>
      </c>
      <c r="I37" s="8" t="n">
        <v>248</v>
      </c>
      <c r="J37" s="8" t="n">
        <v>53</v>
      </c>
      <c r="K37" s="8" t="n">
        <v>53</v>
      </c>
      <c r="L37" s="8" t="n">
        <v>19</v>
      </c>
      <c r="M37" s="8" t="n">
        <v>53</v>
      </c>
      <c r="N37" s="8" t="n">
        <v>0</v>
      </c>
      <c r="O37" s="8" t="n">
        <v>21</v>
      </c>
      <c r="P37" s="8" t="n">
        <v>19</v>
      </c>
      <c r="Q37" s="8" t="n">
        <v>340</v>
      </c>
      <c r="R37" s="8" t="n">
        <v>72</v>
      </c>
      <c r="S37" s="8" t="n">
        <v>72</v>
      </c>
      <c r="T37" s="8" t="n">
        <v>37</v>
      </c>
      <c r="U37" s="8" t="n">
        <v>67</v>
      </c>
      <c r="V37" s="8" t="n">
        <v>0</v>
      </c>
      <c r="W37" s="8" t="n">
        <v>40</v>
      </c>
      <c r="X37" s="8" t="n">
        <v>34</v>
      </c>
      <c r="Y37" s="8" t="n">
        <v>24</v>
      </c>
      <c r="Z37" s="8" t="n">
        <v>24</v>
      </c>
      <c r="AA37" s="8" t="n">
        <v>24</v>
      </c>
      <c r="AB37" s="8" t="n">
        <v>24</v>
      </c>
      <c r="AC37" s="8" t="n">
        <v>24</v>
      </c>
      <c r="AD37" s="8" t="n">
        <v>24</v>
      </c>
      <c r="AE37" s="8" t="n">
        <v>24</v>
      </c>
      <c r="AF37" s="8" t="n">
        <v>24</v>
      </c>
      <c r="AG37" s="8" t="n">
        <v>35</v>
      </c>
      <c r="AH37" s="8" t="n">
        <v>20</v>
      </c>
      <c r="AI37" s="8" t="n">
        <v>20</v>
      </c>
      <c r="AJ37" s="8" t="n">
        <v>0</v>
      </c>
    </row>
    <row r="38" customFormat="false" ht="15" hidden="false" customHeight="false" outlineLevel="0" collapsed="false">
      <c r="A38" s="11" t="s">
        <v>75</v>
      </c>
      <c r="B38" s="8" t="s">
        <v>112</v>
      </c>
      <c r="C38" s="8" t="s">
        <v>75</v>
      </c>
      <c r="D38" s="8" t="n">
        <v>6</v>
      </c>
      <c r="E38" s="8" t="n">
        <v>800</v>
      </c>
      <c r="F38" s="8" t="n">
        <v>158</v>
      </c>
      <c r="G38" s="8" t="n">
        <v>6</v>
      </c>
      <c r="H38" s="8" t="n">
        <v>14.1</v>
      </c>
      <c r="I38" s="8" t="n">
        <v>242</v>
      </c>
      <c r="J38" s="8" t="n">
        <v>58</v>
      </c>
      <c r="K38" s="8" t="n">
        <v>58</v>
      </c>
      <c r="L38" s="8" t="n">
        <v>27</v>
      </c>
      <c r="M38" s="8" t="n">
        <v>56</v>
      </c>
      <c r="N38" s="8" t="n">
        <v>0</v>
      </c>
      <c r="O38" s="8" t="n">
        <v>31</v>
      </c>
      <c r="P38" s="8" t="n">
        <v>27</v>
      </c>
      <c r="Q38" s="8" t="n">
        <v>355</v>
      </c>
      <c r="R38" s="8" t="n">
        <v>69</v>
      </c>
      <c r="S38" s="8" t="n">
        <v>69</v>
      </c>
      <c r="T38" s="8" t="n">
        <v>42</v>
      </c>
      <c r="U38" s="8" t="n">
        <v>67</v>
      </c>
      <c r="V38" s="8" t="n">
        <v>0</v>
      </c>
      <c r="W38" s="8" t="n">
        <v>45</v>
      </c>
      <c r="X38" s="8" t="n">
        <v>42</v>
      </c>
      <c r="Y38" s="8" t="n">
        <v>21</v>
      </c>
      <c r="Z38" s="8" t="n">
        <v>21</v>
      </c>
      <c r="AA38" s="8" t="n">
        <v>21</v>
      </c>
      <c r="AB38" s="8" t="n">
        <v>21</v>
      </c>
      <c r="AC38" s="8" t="n">
        <v>21</v>
      </c>
      <c r="AD38" s="8" t="n">
        <v>21</v>
      </c>
      <c r="AE38" s="8" t="n">
        <v>21</v>
      </c>
      <c r="AF38" s="8" t="n">
        <v>21</v>
      </c>
      <c r="AG38" s="8" t="n">
        <v>35</v>
      </c>
      <c r="AH38" s="8" t="n">
        <v>25</v>
      </c>
      <c r="AI38" s="8" t="n">
        <v>25</v>
      </c>
      <c r="AJ38" s="8" t="n">
        <v>0</v>
      </c>
    </row>
    <row r="39" customFormat="false" ht="15" hidden="false" customHeight="false" outlineLevel="0" collapsed="false">
      <c r="A39" s="11" t="s">
        <v>75</v>
      </c>
      <c r="B39" s="8" t="s">
        <v>113</v>
      </c>
      <c r="C39" s="8" t="s">
        <v>75</v>
      </c>
      <c r="D39" s="8" t="n">
        <v>7</v>
      </c>
      <c r="E39" s="8" t="n">
        <v>800</v>
      </c>
      <c r="F39" s="8" t="n">
        <v>149</v>
      </c>
      <c r="G39" s="8" t="n">
        <v>1</v>
      </c>
      <c r="H39" s="8" t="n">
        <v>18.2</v>
      </c>
      <c r="I39" s="8" t="n">
        <v>257</v>
      </c>
      <c r="J39" s="8" t="n">
        <v>50</v>
      </c>
      <c r="K39" s="8" t="n">
        <v>50</v>
      </c>
      <c r="L39" s="8" t="n">
        <v>27</v>
      </c>
      <c r="M39" s="8" t="n">
        <v>49</v>
      </c>
      <c r="N39" s="8" t="n">
        <v>0</v>
      </c>
      <c r="O39" s="8" t="n">
        <v>27</v>
      </c>
      <c r="P39" s="8" t="n">
        <v>24</v>
      </c>
      <c r="Q39" s="8" t="n">
        <v>332</v>
      </c>
      <c r="R39" s="8" t="n">
        <v>76</v>
      </c>
      <c r="S39" s="8" t="n">
        <v>76</v>
      </c>
      <c r="T39" s="8" t="n">
        <v>41</v>
      </c>
      <c r="U39" s="8" t="n">
        <v>76</v>
      </c>
      <c r="V39" s="8" t="n">
        <v>0</v>
      </c>
      <c r="W39" s="8" t="n">
        <v>45</v>
      </c>
      <c r="X39" s="8" t="n">
        <v>42</v>
      </c>
      <c r="Y39" s="8" t="n">
        <v>14</v>
      </c>
      <c r="Z39" s="8" t="n">
        <v>14</v>
      </c>
      <c r="AA39" s="8" t="n">
        <v>14</v>
      </c>
      <c r="AB39" s="8" t="n">
        <v>14</v>
      </c>
      <c r="AC39" s="8" t="n">
        <v>14</v>
      </c>
      <c r="AD39" s="8" t="n">
        <v>14</v>
      </c>
      <c r="AE39" s="8" t="n">
        <v>14</v>
      </c>
      <c r="AF39" s="8" t="n">
        <v>14</v>
      </c>
      <c r="AG39" s="8" t="n">
        <v>36</v>
      </c>
      <c r="AH39" s="8" t="n">
        <v>23</v>
      </c>
      <c r="AI39" s="8" t="n">
        <v>23</v>
      </c>
      <c r="AJ39" s="8" t="n">
        <v>0</v>
      </c>
    </row>
    <row r="40" customFormat="false" ht="15" hidden="false" customHeight="false" outlineLevel="0" collapsed="false">
      <c r="A40" s="11" t="s">
        <v>75</v>
      </c>
      <c r="B40" s="8" t="s">
        <v>114</v>
      </c>
      <c r="C40" s="8" t="s">
        <v>75</v>
      </c>
      <c r="D40" s="8" t="n">
        <v>8</v>
      </c>
      <c r="E40" s="8" t="n">
        <v>800</v>
      </c>
      <c r="F40" s="8" t="n">
        <v>152</v>
      </c>
      <c r="G40" s="8" t="n">
        <v>0</v>
      </c>
      <c r="H40" s="8" t="n">
        <v>13.8</v>
      </c>
      <c r="I40" s="8" t="n">
        <v>225</v>
      </c>
      <c r="J40" s="8" t="n">
        <v>49</v>
      </c>
      <c r="K40" s="8" t="n">
        <v>49</v>
      </c>
      <c r="L40" s="8" t="n">
        <v>21</v>
      </c>
      <c r="M40" s="8" t="n">
        <v>49</v>
      </c>
      <c r="N40" s="8" t="n">
        <v>0</v>
      </c>
      <c r="O40" s="8" t="n">
        <v>21</v>
      </c>
      <c r="P40" s="8" t="n">
        <v>21</v>
      </c>
      <c r="Q40" s="8" t="n">
        <v>388</v>
      </c>
      <c r="R40" s="8" t="n">
        <v>78</v>
      </c>
      <c r="S40" s="8" t="n">
        <v>78</v>
      </c>
      <c r="T40" s="8" t="n">
        <v>34</v>
      </c>
      <c r="U40" s="8" t="n">
        <v>78</v>
      </c>
      <c r="V40" s="8" t="n">
        <v>0</v>
      </c>
      <c r="W40" s="8" t="n">
        <v>34</v>
      </c>
      <c r="X40" s="8" t="n">
        <v>34</v>
      </c>
      <c r="Y40" s="8" t="n">
        <v>22</v>
      </c>
      <c r="Z40" s="8" t="n">
        <v>22</v>
      </c>
      <c r="AA40" s="8" t="n">
        <v>22</v>
      </c>
      <c r="AB40" s="8" t="n">
        <v>22</v>
      </c>
      <c r="AC40" s="8" t="n">
        <v>22</v>
      </c>
      <c r="AD40" s="8" t="n">
        <v>22</v>
      </c>
      <c r="AE40" s="8" t="n">
        <v>22</v>
      </c>
      <c r="AF40" s="8" t="n">
        <v>22</v>
      </c>
      <c r="AG40" s="8" t="n">
        <v>34</v>
      </c>
      <c r="AH40" s="8" t="n">
        <v>25</v>
      </c>
      <c r="AI40" s="8" t="n">
        <v>25</v>
      </c>
      <c r="AJ40" s="8" t="n">
        <v>0</v>
      </c>
    </row>
    <row r="41" customFormat="false" ht="15" hidden="false" customHeight="false" outlineLevel="0" collapsed="false">
      <c r="A41" s="11" t="s">
        <v>75</v>
      </c>
      <c r="B41" s="8" t="s">
        <v>115</v>
      </c>
      <c r="C41" s="8" t="s">
        <v>75</v>
      </c>
      <c r="D41" s="8" t="n">
        <v>9</v>
      </c>
      <c r="E41" s="8" t="n">
        <v>800</v>
      </c>
      <c r="F41" s="8" t="n">
        <v>156</v>
      </c>
      <c r="G41" s="8" t="n">
        <v>4</v>
      </c>
      <c r="H41" s="8" t="n">
        <v>13.4</v>
      </c>
      <c r="I41" s="8" t="n">
        <v>243</v>
      </c>
      <c r="J41" s="8" t="n">
        <v>60</v>
      </c>
      <c r="K41" s="8" t="n">
        <v>60</v>
      </c>
      <c r="L41" s="8" t="n">
        <v>27</v>
      </c>
      <c r="M41" s="8" t="n">
        <v>57</v>
      </c>
      <c r="N41" s="8" t="n">
        <v>0</v>
      </c>
      <c r="O41" s="8" t="n">
        <v>28</v>
      </c>
      <c r="P41" s="8" t="n">
        <v>24</v>
      </c>
      <c r="Q41" s="8" t="n">
        <v>355</v>
      </c>
      <c r="R41" s="8" t="n">
        <v>68</v>
      </c>
      <c r="S41" s="8" t="n">
        <v>68</v>
      </c>
      <c r="T41" s="8" t="n">
        <v>30</v>
      </c>
      <c r="U41" s="8" t="n">
        <v>65</v>
      </c>
      <c r="V41" s="8" t="n">
        <v>0</v>
      </c>
      <c r="W41" s="8" t="n">
        <v>34</v>
      </c>
      <c r="X41" s="8" t="n">
        <v>27</v>
      </c>
      <c r="Y41" s="8" t="n">
        <v>19</v>
      </c>
      <c r="Z41" s="8" t="n">
        <v>19</v>
      </c>
      <c r="AA41" s="8" t="n">
        <v>19</v>
      </c>
      <c r="AB41" s="8" t="n">
        <v>19</v>
      </c>
      <c r="AC41" s="8" t="n">
        <v>19</v>
      </c>
      <c r="AD41" s="8" t="n">
        <v>19</v>
      </c>
      <c r="AE41" s="8" t="n">
        <v>19</v>
      </c>
      <c r="AF41" s="8" t="n">
        <v>19</v>
      </c>
      <c r="AG41" s="8" t="n">
        <v>36</v>
      </c>
      <c r="AH41" s="8" t="n">
        <v>20</v>
      </c>
      <c r="AI41" s="8" t="n">
        <v>20</v>
      </c>
      <c r="AJ41" s="8" t="n">
        <v>0</v>
      </c>
    </row>
    <row r="42" customFormat="false" ht="15" hidden="false" customHeight="false" outlineLevel="0" collapsed="false">
      <c r="A42" s="11" t="s">
        <v>116</v>
      </c>
      <c r="B42" s="8" t="s">
        <v>117</v>
      </c>
      <c r="C42" s="8" t="s">
        <v>116</v>
      </c>
      <c r="D42" s="8" t="n">
        <v>0</v>
      </c>
      <c r="E42" s="8" t="n">
        <v>0</v>
      </c>
      <c r="F42" s="8" t="n">
        <v>43</v>
      </c>
      <c r="G42" s="8" t="n">
        <v>0</v>
      </c>
      <c r="H42" s="8" t="n">
        <v>4.4</v>
      </c>
      <c r="I42" s="8" t="n">
        <v>17</v>
      </c>
      <c r="J42" s="8" t="n">
        <v>17</v>
      </c>
      <c r="K42" s="8" t="n">
        <v>17</v>
      </c>
      <c r="L42" s="8" t="n">
        <v>17</v>
      </c>
      <c r="M42" s="8" t="n">
        <v>17</v>
      </c>
      <c r="N42" s="8" t="n">
        <v>0</v>
      </c>
      <c r="O42" s="8" t="n">
        <v>17</v>
      </c>
      <c r="P42" s="8" t="n">
        <v>17</v>
      </c>
      <c r="Q42" s="8" t="n">
        <v>12</v>
      </c>
      <c r="R42" s="8" t="n">
        <v>12</v>
      </c>
      <c r="S42" s="8" t="n">
        <v>12</v>
      </c>
      <c r="T42" s="8" t="n">
        <v>12</v>
      </c>
      <c r="U42" s="8" t="n">
        <v>12</v>
      </c>
      <c r="V42" s="8" t="n">
        <v>0</v>
      </c>
      <c r="W42" s="8" t="n">
        <v>12</v>
      </c>
      <c r="X42" s="8" t="n">
        <v>12</v>
      </c>
      <c r="Y42" s="8" t="n">
        <v>14</v>
      </c>
      <c r="Z42" s="8" t="n">
        <v>14</v>
      </c>
      <c r="AA42" s="8" t="n">
        <v>14</v>
      </c>
      <c r="AB42" s="8" t="n">
        <v>14</v>
      </c>
      <c r="AC42" s="8" t="n">
        <v>14</v>
      </c>
      <c r="AD42" s="8" t="n">
        <v>0</v>
      </c>
      <c r="AE42" s="8" t="n">
        <v>14</v>
      </c>
      <c r="AF42" s="8" t="n">
        <v>14</v>
      </c>
      <c r="AG42" s="8" t="n">
        <v>29</v>
      </c>
      <c r="AH42" s="8" t="n">
        <v>29</v>
      </c>
      <c r="AI42" s="8" t="n">
        <v>29</v>
      </c>
      <c r="AJ42" s="8" t="n">
        <v>0</v>
      </c>
    </row>
    <row r="43" customFormat="false" ht="15" hidden="false" customHeight="false" outlineLevel="0" collapsed="false">
      <c r="A43" s="11" t="s">
        <v>116</v>
      </c>
      <c r="B43" s="8" t="s">
        <v>118</v>
      </c>
      <c r="C43" s="8" t="s">
        <v>116</v>
      </c>
      <c r="D43" s="8" t="n">
        <v>1</v>
      </c>
      <c r="E43" s="8" t="n">
        <v>0</v>
      </c>
      <c r="F43" s="8" t="n">
        <v>38</v>
      </c>
      <c r="G43" s="8" t="n">
        <v>0</v>
      </c>
      <c r="H43" s="8" t="n">
        <v>3</v>
      </c>
      <c r="I43" s="8" t="n">
        <v>22</v>
      </c>
      <c r="J43" s="8" t="n">
        <v>22</v>
      </c>
      <c r="K43" s="8" t="n">
        <v>22</v>
      </c>
      <c r="L43" s="8" t="n">
        <v>22</v>
      </c>
      <c r="M43" s="8" t="n">
        <v>22</v>
      </c>
      <c r="N43" s="8" t="n">
        <v>0</v>
      </c>
      <c r="O43" s="8" t="n">
        <v>22</v>
      </c>
      <c r="P43" s="8" t="n">
        <v>22</v>
      </c>
      <c r="Q43" s="8" t="n">
        <v>8</v>
      </c>
      <c r="R43" s="8" t="n">
        <v>8</v>
      </c>
      <c r="S43" s="8" t="n">
        <v>8</v>
      </c>
      <c r="T43" s="8" t="n">
        <v>8</v>
      </c>
      <c r="U43" s="8" t="n">
        <v>8</v>
      </c>
      <c r="V43" s="8" t="n">
        <v>0</v>
      </c>
      <c r="W43" s="8" t="n">
        <v>8</v>
      </c>
      <c r="X43" s="8" t="n">
        <v>8</v>
      </c>
      <c r="Y43" s="8" t="n">
        <v>8</v>
      </c>
      <c r="Z43" s="8" t="n">
        <v>8</v>
      </c>
      <c r="AA43" s="8" t="n">
        <v>8</v>
      </c>
      <c r="AB43" s="8" t="n">
        <v>8</v>
      </c>
      <c r="AC43" s="8" t="n">
        <v>8</v>
      </c>
      <c r="AD43" s="8" t="n">
        <v>0</v>
      </c>
      <c r="AE43" s="8" t="n">
        <v>8</v>
      </c>
      <c r="AF43" s="8" t="n">
        <v>8</v>
      </c>
      <c r="AG43" s="8" t="n">
        <v>30</v>
      </c>
      <c r="AH43" s="8" t="n">
        <v>30</v>
      </c>
      <c r="AI43" s="8" t="n">
        <v>30</v>
      </c>
      <c r="AJ43" s="8" t="n">
        <v>0</v>
      </c>
    </row>
    <row r="44" customFormat="false" ht="15" hidden="false" customHeight="false" outlineLevel="0" collapsed="false">
      <c r="A44" s="11" t="s">
        <v>116</v>
      </c>
      <c r="B44" s="8" t="s">
        <v>119</v>
      </c>
      <c r="C44" s="8" t="s">
        <v>116</v>
      </c>
      <c r="D44" s="8" t="n">
        <v>2</v>
      </c>
      <c r="E44" s="8" t="n">
        <v>0</v>
      </c>
      <c r="F44" s="8" t="n">
        <v>40</v>
      </c>
      <c r="G44" s="8" t="n">
        <v>0</v>
      </c>
      <c r="H44" s="8" t="n">
        <v>2.8</v>
      </c>
      <c r="I44" s="8" t="n">
        <v>20</v>
      </c>
      <c r="J44" s="8" t="n">
        <v>20</v>
      </c>
      <c r="K44" s="8" t="n">
        <v>20</v>
      </c>
      <c r="L44" s="8" t="n">
        <v>20</v>
      </c>
      <c r="M44" s="8" t="n">
        <v>20</v>
      </c>
      <c r="N44" s="8" t="n">
        <v>0</v>
      </c>
      <c r="O44" s="8" t="n">
        <v>20</v>
      </c>
      <c r="P44" s="8" t="n">
        <v>20</v>
      </c>
      <c r="Q44" s="8" t="n">
        <v>13</v>
      </c>
      <c r="R44" s="8" t="n">
        <v>13</v>
      </c>
      <c r="S44" s="8" t="n">
        <v>13</v>
      </c>
      <c r="T44" s="8" t="n">
        <v>13</v>
      </c>
      <c r="U44" s="8" t="n">
        <v>13</v>
      </c>
      <c r="V44" s="8" t="n">
        <v>0</v>
      </c>
      <c r="W44" s="8" t="n">
        <v>13</v>
      </c>
      <c r="X44" s="8" t="n">
        <v>13</v>
      </c>
      <c r="Y44" s="8" t="n">
        <v>7</v>
      </c>
      <c r="Z44" s="8" t="n">
        <v>7</v>
      </c>
      <c r="AA44" s="8" t="n">
        <v>7</v>
      </c>
      <c r="AB44" s="8" t="n">
        <v>7</v>
      </c>
      <c r="AC44" s="8" t="n">
        <v>7</v>
      </c>
      <c r="AD44" s="8" t="n">
        <v>0</v>
      </c>
      <c r="AE44" s="8" t="n">
        <v>7</v>
      </c>
      <c r="AF44" s="8" t="n">
        <v>7</v>
      </c>
      <c r="AG44" s="8" t="n">
        <v>33</v>
      </c>
      <c r="AH44" s="8" t="n">
        <v>33</v>
      </c>
      <c r="AI44" s="8" t="n">
        <v>33</v>
      </c>
      <c r="AJ44" s="8" t="n">
        <v>0</v>
      </c>
    </row>
    <row r="45" customFormat="false" ht="15" hidden="false" customHeight="false" outlineLevel="0" collapsed="false">
      <c r="A45" s="11" t="s">
        <v>116</v>
      </c>
      <c r="B45" s="8" t="s">
        <v>120</v>
      </c>
      <c r="C45" s="8" t="s">
        <v>116</v>
      </c>
      <c r="D45" s="8" t="n">
        <v>3</v>
      </c>
      <c r="E45" s="8" t="n">
        <v>0</v>
      </c>
      <c r="F45" s="8" t="n">
        <v>42</v>
      </c>
      <c r="G45" s="8" t="n">
        <v>0</v>
      </c>
      <c r="H45" s="8" t="n">
        <v>2.9</v>
      </c>
      <c r="I45" s="8" t="n">
        <v>18</v>
      </c>
      <c r="J45" s="8" t="n">
        <v>18</v>
      </c>
      <c r="K45" s="8" t="n">
        <v>18</v>
      </c>
      <c r="L45" s="8" t="n">
        <v>18</v>
      </c>
      <c r="M45" s="8" t="n">
        <v>18</v>
      </c>
      <c r="N45" s="8" t="n">
        <v>0</v>
      </c>
      <c r="O45" s="8" t="n">
        <v>18</v>
      </c>
      <c r="P45" s="8" t="n">
        <v>18</v>
      </c>
      <c r="Q45" s="8" t="n">
        <v>16</v>
      </c>
      <c r="R45" s="8" t="n">
        <v>16</v>
      </c>
      <c r="S45" s="8" t="n">
        <v>16</v>
      </c>
      <c r="T45" s="8" t="n">
        <v>16</v>
      </c>
      <c r="U45" s="8" t="n">
        <v>16</v>
      </c>
      <c r="V45" s="8" t="n">
        <v>0</v>
      </c>
      <c r="W45" s="8" t="n">
        <v>16</v>
      </c>
      <c r="X45" s="8" t="n">
        <v>16</v>
      </c>
      <c r="Y45" s="8" t="n">
        <v>8</v>
      </c>
      <c r="Z45" s="8" t="n">
        <v>8</v>
      </c>
      <c r="AA45" s="8" t="n">
        <v>8</v>
      </c>
      <c r="AB45" s="8" t="n">
        <v>8</v>
      </c>
      <c r="AC45" s="8" t="n">
        <v>8</v>
      </c>
      <c r="AD45" s="8" t="n">
        <v>0</v>
      </c>
      <c r="AE45" s="8" t="n">
        <v>8</v>
      </c>
      <c r="AF45" s="8" t="n">
        <v>8</v>
      </c>
      <c r="AG45" s="8" t="n">
        <v>34</v>
      </c>
      <c r="AH45" s="8" t="n">
        <v>34</v>
      </c>
      <c r="AI45" s="8" t="n">
        <v>34</v>
      </c>
      <c r="AJ45" s="8" t="n">
        <v>0</v>
      </c>
    </row>
    <row r="46" customFormat="false" ht="15" hidden="false" customHeight="false" outlineLevel="0" collapsed="false">
      <c r="A46" s="11" t="s">
        <v>116</v>
      </c>
      <c r="B46" s="8" t="s">
        <v>121</v>
      </c>
      <c r="C46" s="8" t="s">
        <v>116</v>
      </c>
      <c r="D46" s="8" t="n">
        <v>4</v>
      </c>
      <c r="E46" s="8" t="n">
        <v>0</v>
      </c>
      <c r="F46" s="8" t="n">
        <v>48</v>
      </c>
      <c r="G46" s="8" t="n">
        <v>0</v>
      </c>
      <c r="H46" s="8" t="n">
        <v>3.9</v>
      </c>
      <c r="I46" s="8" t="n">
        <v>12</v>
      </c>
      <c r="J46" s="8" t="n">
        <v>12</v>
      </c>
      <c r="K46" s="8" t="n">
        <v>12</v>
      </c>
      <c r="L46" s="8" t="n">
        <v>12</v>
      </c>
      <c r="M46" s="8" t="n">
        <v>12</v>
      </c>
      <c r="N46" s="8" t="n">
        <v>0</v>
      </c>
      <c r="O46" s="8" t="n">
        <v>12</v>
      </c>
      <c r="P46" s="8" t="n">
        <v>12</v>
      </c>
      <c r="Q46" s="8" t="n">
        <v>18</v>
      </c>
      <c r="R46" s="8" t="n">
        <v>18</v>
      </c>
      <c r="S46" s="8" t="n">
        <v>18</v>
      </c>
      <c r="T46" s="8" t="n">
        <v>18</v>
      </c>
      <c r="U46" s="8" t="n">
        <v>18</v>
      </c>
      <c r="V46" s="8" t="n">
        <v>0</v>
      </c>
      <c r="W46" s="8" t="n">
        <v>18</v>
      </c>
      <c r="X46" s="8" t="n">
        <v>18</v>
      </c>
      <c r="Y46" s="8" t="n">
        <v>18</v>
      </c>
      <c r="Z46" s="8" t="n">
        <v>18</v>
      </c>
      <c r="AA46" s="8" t="n">
        <v>18</v>
      </c>
      <c r="AB46" s="8" t="n">
        <v>18</v>
      </c>
      <c r="AC46" s="8" t="n">
        <v>18</v>
      </c>
      <c r="AD46" s="8" t="n">
        <v>0</v>
      </c>
      <c r="AE46" s="8" t="n">
        <v>18</v>
      </c>
      <c r="AF46" s="8" t="n">
        <v>18</v>
      </c>
      <c r="AG46" s="8" t="n">
        <v>30</v>
      </c>
      <c r="AH46" s="8" t="n">
        <v>30</v>
      </c>
      <c r="AI46" s="8" t="n">
        <v>30</v>
      </c>
      <c r="AJ46" s="8" t="n">
        <v>0</v>
      </c>
    </row>
    <row r="47" customFormat="false" ht="15" hidden="false" customHeight="false" outlineLevel="0" collapsed="false">
      <c r="A47" s="11" t="s">
        <v>116</v>
      </c>
      <c r="B47" s="8" t="s">
        <v>122</v>
      </c>
      <c r="C47" s="8" t="s">
        <v>116</v>
      </c>
      <c r="D47" s="8" t="n">
        <v>5</v>
      </c>
      <c r="E47" s="8" t="n">
        <v>0</v>
      </c>
      <c r="F47" s="8" t="n">
        <v>50</v>
      </c>
      <c r="G47" s="8" t="n">
        <v>0</v>
      </c>
      <c r="H47" s="8" t="n">
        <v>5.1</v>
      </c>
      <c r="I47" s="8" t="n">
        <v>10</v>
      </c>
      <c r="J47" s="8" t="n">
        <v>10</v>
      </c>
      <c r="K47" s="8" t="n">
        <v>10</v>
      </c>
      <c r="L47" s="8" t="n">
        <v>10</v>
      </c>
      <c r="M47" s="8" t="n">
        <v>10</v>
      </c>
      <c r="N47" s="8" t="n">
        <v>0</v>
      </c>
      <c r="O47" s="8" t="n">
        <v>10</v>
      </c>
      <c r="P47" s="8" t="n">
        <v>10</v>
      </c>
      <c r="Q47" s="8" t="n">
        <v>21</v>
      </c>
      <c r="R47" s="8" t="n">
        <v>21</v>
      </c>
      <c r="S47" s="8" t="n">
        <v>21</v>
      </c>
      <c r="T47" s="8" t="n">
        <v>21</v>
      </c>
      <c r="U47" s="8" t="n">
        <v>21</v>
      </c>
      <c r="V47" s="8" t="n">
        <v>0</v>
      </c>
      <c r="W47" s="8" t="n">
        <v>21</v>
      </c>
      <c r="X47" s="8" t="n">
        <v>21</v>
      </c>
      <c r="Y47" s="8" t="n">
        <v>19</v>
      </c>
      <c r="Z47" s="8" t="n">
        <v>19</v>
      </c>
      <c r="AA47" s="8" t="n">
        <v>19</v>
      </c>
      <c r="AB47" s="8" t="n">
        <v>19</v>
      </c>
      <c r="AC47" s="8" t="n">
        <v>19</v>
      </c>
      <c r="AD47" s="8" t="n">
        <v>0</v>
      </c>
      <c r="AE47" s="8" t="n">
        <v>19</v>
      </c>
      <c r="AF47" s="8" t="n">
        <v>19</v>
      </c>
      <c r="AG47" s="8" t="n">
        <v>31</v>
      </c>
      <c r="AH47" s="8" t="n">
        <v>31</v>
      </c>
      <c r="AI47" s="8" t="n">
        <v>31</v>
      </c>
      <c r="AJ47" s="8" t="n">
        <v>0</v>
      </c>
    </row>
    <row r="48" customFormat="false" ht="15" hidden="false" customHeight="false" outlineLevel="0" collapsed="false">
      <c r="A48" s="11" t="s">
        <v>116</v>
      </c>
      <c r="B48" s="8" t="s">
        <v>123</v>
      </c>
      <c r="C48" s="8" t="s">
        <v>116</v>
      </c>
      <c r="D48" s="8" t="n">
        <v>6</v>
      </c>
      <c r="E48" s="8" t="n">
        <v>0</v>
      </c>
      <c r="F48" s="8" t="n">
        <v>41</v>
      </c>
      <c r="G48" s="8" t="n">
        <v>0</v>
      </c>
      <c r="H48" s="8" t="n">
        <v>4.4</v>
      </c>
      <c r="I48" s="8" t="n">
        <v>19</v>
      </c>
      <c r="J48" s="8" t="n">
        <v>19</v>
      </c>
      <c r="K48" s="8" t="n">
        <v>19</v>
      </c>
      <c r="L48" s="8" t="n">
        <v>19</v>
      </c>
      <c r="M48" s="8" t="n">
        <v>19</v>
      </c>
      <c r="N48" s="8" t="n">
        <v>0</v>
      </c>
      <c r="O48" s="8" t="n">
        <v>19</v>
      </c>
      <c r="P48" s="8" t="n">
        <v>19</v>
      </c>
      <c r="Q48" s="8" t="n">
        <v>13</v>
      </c>
      <c r="R48" s="8" t="n">
        <v>13</v>
      </c>
      <c r="S48" s="8" t="n">
        <v>13</v>
      </c>
      <c r="T48" s="8" t="n">
        <v>13</v>
      </c>
      <c r="U48" s="8" t="n">
        <v>13</v>
      </c>
      <c r="V48" s="8" t="n">
        <v>0</v>
      </c>
      <c r="W48" s="8" t="n">
        <v>13</v>
      </c>
      <c r="X48" s="8" t="n">
        <v>13</v>
      </c>
      <c r="Y48" s="8" t="n">
        <v>9</v>
      </c>
      <c r="Z48" s="8" t="n">
        <v>9</v>
      </c>
      <c r="AA48" s="8" t="n">
        <v>9</v>
      </c>
      <c r="AB48" s="8" t="n">
        <v>9</v>
      </c>
      <c r="AC48" s="8" t="n">
        <v>9</v>
      </c>
      <c r="AD48" s="8" t="n">
        <v>0</v>
      </c>
      <c r="AE48" s="8" t="n">
        <v>9</v>
      </c>
      <c r="AF48" s="8" t="n">
        <v>9</v>
      </c>
      <c r="AG48" s="8" t="n">
        <v>32</v>
      </c>
      <c r="AH48" s="8" t="n">
        <v>32</v>
      </c>
      <c r="AI48" s="8" t="n">
        <v>32</v>
      </c>
      <c r="AJ48" s="8" t="n">
        <v>0</v>
      </c>
    </row>
    <row r="49" customFormat="false" ht="15" hidden="false" customHeight="false" outlineLevel="0" collapsed="false">
      <c r="A49" s="11" t="s">
        <v>116</v>
      </c>
      <c r="B49" s="8" t="s">
        <v>124</v>
      </c>
      <c r="C49" s="8" t="s">
        <v>116</v>
      </c>
      <c r="D49" s="8" t="n">
        <v>7</v>
      </c>
      <c r="E49" s="8" t="n">
        <v>0</v>
      </c>
      <c r="F49" s="8" t="n">
        <v>40</v>
      </c>
      <c r="G49" s="8" t="n">
        <v>0</v>
      </c>
      <c r="H49" s="8" t="n">
        <v>5</v>
      </c>
      <c r="I49" s="8" t="n">
        <v>20</v>
      </c>
      <c r="J49" s="8" t="n">
        <v>20</v>
      </c>
      <c r="K49" s="8" t="n">
        <v>20</v>
      </c>
      <c r="L49" s="8" t="n">
        <v>20</v>
      </c>
      <c r="M49" s="8" t="n">
        <v>20</v>
      </c>
      <c r="N49" s="8" t="n">
        <v>0</v>
      </c>
      <c r="O49" s="8" t="n">
        <v>20</v>
      </c>
      <c r="P49" s="8" t="n">
        <v>20</v>
      </c>
      <c r="Q49" s="8" t="n">
        <v>13</v>
      </c>
      <c r="R49" s="8" t="n">
        <v>13</v>
      </c>
      <c r="S49" s="8" t="n">
        <v>13</v>
      </c>
      <c r="T49" s="8" t="n">
        <v>13</v>
      </c>
      <c r="U49" s="8" t="n">
        <v>13</v>
      </c>
      <c r="V49" s="8" t="n">
        <v>0</v>
      </c>
      <c r="W49" s="8" t="n">
        <v>13</v>
      </c>
      <c r="X49" s="8" t="n">
        <v>13</v>
      </c>
      <c r="Y49" s="8" t="n">
        <v>7</v>
      </c>
      <c r="Z49" s="8" t="n">
        <v>7</v>
      </c>
      <c r="AA49" s="8" t="n">
        <v>7</v>
      </c>
      <c r="AB49" s="8" t="n">
        <v>7</v>
      </c>
      <c r="AC49" s="8" t="n">
        <v>7</v>
      </c>
      <c r="AD49" s="8" t="n">
        <v>0</v>
      </c>
      <c r="AE49" s="8" t="n">
        <v>7</v>
      </c>
      <c r="AF49" s="8" t="n">
        <v>7</v>
      </c>
      <c r="AG49" s="8" t="n">
        <v>33</v>
      </c>
      <c r="AH49" s="8" t="n">
        <v>33</v>
      </c>
      <c r="AI49" s="8" t="n">
        <v>33</v>
      </c>
      <c r="AJ49" s="8" t="n">
        <v>0</v>
      </c>
    </row>
    <row r="50" customFormat="false" ht="15" hidden="false" customHeight="false" outlineLevel="0" collapsed="false">
      <c r="A50" s="11" t="s">
        <v>116</v>
      </c>
      <c r="B50" s="8" t="s">
        <v>125</v>
      </c>
      <c r="C50" s="8" t="s">
        <v>116</v>
      </c>
      <c r="D50" s="8" t="n">
        <v>8</v>
      </c>
      <c r="E50" s="8" t="n">
        <v>0</v>
      </c>
      <c r="F50" s="8" t="n">
        <v>40</v>
      </c>
      <c r="G50" s="8" t="n">
        <v>0</v>
      </c>
      <c r="H50" s="8" t="n">
        <v>4.2</v>
      </c>
      <c r="I50" s="8" t="n">
        <v>20</v>
      </c>
      <c r="J50" s="8" t="n">
        <v>20</v>
      </c>
      <c r="K50" s="8" t="n">
        <v>20</v>
      </c>
      <c r="L50" s="8" t="n">
        <v>20</v>
      </c>
      <c r="M50" s="8" t="n">
        <v>20</v>
      </c>
      <c r="N50" s="8" t="n">
        <v>0</v>
      </c>
      <c r="O50" s="8" t="n">
        <v>20</v>
      </c>
      <c r="P50" s="8" t="n">
        <v>20</v>
      </c>
      <c r="Q50" s="8" t="n">
        <v>14</v>
      </c>
      <c r="R50" s="8" t="n">
        <v>14</v>
      </c>
      <c r="S50" s="8" t="n">
        <v>14</v>
      </c>
      <c r="T50" s="8" t="n">
        <v>14</v>
      </c>
      <c r="U50" s="8" t="n">
        <v>14</v>
      </c>
      <c r="V50" s="8" t="n">
        <v>0</v>
      </c>
      <c r="W50" s="8" t="n">
        <v>14</v>
      </c>
      <c r="X50" s="8" t="n">
        <v>14</v>
      </c>
      <c r="Y50" s="8" t="n">
        <v>6</v>
      </c>
      <c r="Z50" s="8" t="n">
        <v>6</v>
      </c>
      <c r="AA50" s="8" t="n">
        <v>6</v>
      </c>
      <c r="AB50" s="8" t="n">
        <v>6</v>
      </c>
      <c r="AC50" s="8" t="n">
        <v>6</v>
      </c>
      <c r="AD50" s="8" t="n">
        <v>0</v>
      </c>
      <c r="AE50" s="8" t="n">
        <v>6</v>
      </c>
      <c r="AF50" s="8" t="n">
        <v>6</v>
      </c>
      <c r="AG50" s="8" t="n">
        <v>34</v>
      </c>
      <c r="AH50" s="8" t="n">
        <v>34</v>
      </c>
      <c r="AI50" s="8" t="n">
        <v>34</v>
      </c>
      <c r="AJ50" s="8" t="n">
        <v>0</v>
      </c>
    </row>
    <row r="51" customFormat="false" ht="15" hidden="false" customHeight="false" outlineLevel="0" collapsed="false">
      <c r="A51" s="11" t="s">
        <v>116</v>
      </c>
      <c r="B51" s="8" t="s">
        <v>126</v>
      </c>
      <c r="C51" s="8" t="s">
        <v>116</v>
      </c>
      <c r="D51" s="8" t="n">
        <v>9</v>
      </c>
      <c r="E51" s="8" t="n">
        <v>0</v>
      </c>
      <c r="F51" s="8" t="n">
        <v>40</v>
      </c>
      <c r="G51" s="8" t="n">
        <v>0</v>
      </c>
      <c r="H51" s="8" t="n">
        <v>4.8</v>
      </c>
      <c r="I51" s="8" t="n">
        <v>20</v>
      </c>
      <c r="J51" s="8" t="n">
        <v>20</v>
      </c>
      <c r="K51" s="8" t="n">
        <v>20</v>
      </c>
      <c r="L51" s="8" t="n">
        <v>20</v>
      </c>
      <c r="M51" s="8" t="n">
        <v>20</v>
      </c>
      <c r="N51" s="8" t="n">
        <v>0</v>
      </c>
      <c r="O51" s="8" t="n">
        <v>20</v>
      </c>
      <c r="P51" s="8" t="n">
        <v>20</v>
      </c>
      <c r="Q51" s="8" t="n">
        <v>11</v>
      </c>
      <c r="R51" s="8" t="n">
        <v>11</v>
      </c>
      <c r="S51" s="8" t="n">
        <v>11</v>
      </c>
      <c r="T51" s="8" t="n">
        <v>11</v>
      </c>
      <c r="U51" s="8" t="n">
        <v>11</v>
      </c>
      <c r="V51" s="8" t="n">
        <v>0</v>
      </c>
      <c r="W51" s="8" t="n">
        <v>11</v>
      </c>
      <c r="X51" s="8" t="n">
        <v>11</v>
      </c>
      <c r="Y51" s="8" t="n">
        <v>9</v>
      </c>
      <c r="Z51" s="8" t="n">
        <v>9</v>
      </c>
      <c r="AA51" s="8" t="n">
        <v>9</v>
      </c>
      <c r="AB51" s="8" t="n">
        <v>9</v>
      </c>
      <c r="AC51" s="8" t="n">
        <v>9</v>
      </c>
      <c r="AD51" s="8" t="n">
        <v>0</v>
      </c>
      <c r="AE51" s="8" t="n">
        <v>9</v>
      </c>
      <c r="AF51" s="8" t="n">
        <v>9</v>
      </c>
      <c r="AG51" s="8" t="n">
        <v>31</v>
      </c>
      <c r="AH51" s="8" t="n">
        <v>31</v>
      </c>
      <c r="AI51" s="8" t="n">
        <v>31</v>
      </c>
      <c r="AJ51" s="8" t="n">
        <v>0</v>
      </c>
    </row>
    <row r="52" customFormat="false" ht="15" hidden="false" customHeight="false" outlineLevel="0" collapsed="false">
      <c r="A52" s="11" t="s">
        <v>127</v>
      </c>
      <c r="B52" s="8" t="s">
        <v>128</v>
      </c>
      <c r="C52" s="8" t="s">
        <v>116</v>
      </c>
      <c r="D52" s="8"/>
      <c r="E52" s="8" t="n">
        <v>0</v>
      </c>
      <c r="F52" s="8" t="n">
        <v>7</v>
      </c>
      <c r="G52" s="8" t="n">
        <v>0</v>
      </c>
      <c r="H52" s="8" t="n">
        <v>1</v>
      </c>
      <c r="I52" s="8" t="n">
        <v>1</v>
      </c>
      <c r="J52" s="8" t="n">
        <v>1</v>
      </c>
      <c r="K52" s="8" t="n">
        <v>1</v>
      </c>
      <c r="L52" s="8" t="n">
        <v>1</v>
      </c>
      <c r="M52" s="8" t="n">
        <v>1</v>
      </c>
      <c r="N52" s="8" t="n">
        <v>0</v>
      </c>
      <c r="O52" s="8" t="n">
        <v>1</v>
      </c>
      <c r="P52" s="8" t="n">
        <v>1</v>
      </c>
      <c r="Q52" s="8" t="n">
        <v>2</v>
      </c>
      <c r="R52" s="8" t="n">
        <v>2</v>
      </c>
      <c r="S52" s="8" t="n">
        <v>2</v>
      </c>
      <c r="T52" s="8" t="n">
        <v>2</v>
      </c>
      <c r="U52" s="8" t="n">
        <v>2</v>
      </c>
      <c r="V52" s="8" t="n">
        <v>0</v>
      </c>
      <c r="W52" s="8" t="n">
        <v>2</v>
      </c>
      <c r="X52" s="8" t="n">
        <v>2</v>
      </c>
      <c r="Y52" s="8" t="n">
        <v>4</v>
      </c>
      <c r="Z52" s="8" t="n">
        <v>4</v>
      </c>
      <c r="AA52" s="8" t="n">
        <v>4</v>
      </c>
      <c r="AB52" s="8" t="n">
        <v>4</v>
      </c>
      <c r="AC52" s="8" t="n">
        <v>4</v>
      </c>
      <c r="AD52" s="8" t="n">
        <v>0</v>
      </c>
      <c r="AE52" s="8" t="n">
        <v>4</v>
      </c>
      <c r="AF52" s="8" t="n">
        <v>4</v>
      </c>
      <c r="AG52" s="8" t="n">
        <v>3</v>
      </c>
      <c r="AH52" s="8" t="n">
        <v>3</v>
      </c>
      <c r="AI52" s="8" t="n">
        <v>3</v>
      </c>
      <c r="AJ52" s="8" t="n">
        <v>0</v>
      </c>
    </row>
    <row r="53" customFormat="false" ht="15" hidden="false" customHeight="false" outlineLevel="0" collapsed="false">
      <c r="A53" s="11" t="s">
        <v>127</v>
      </c>
      <c r="B53" s="8" t="s">
        <v>129</v>
      </c>
      <c r="C53" s="8" t="s">
        <v>75</v>
      </c>
      <c r="D53" s="8"/>
      <c r="E53" s="8" t="n">
        <v>0</v>
      </c>
      <c r="F53" s="8" t="n">
        <v>6</v>
      </c>
      <c r="G53" s="8" t="n">
        <v>0</v>
      </c>
      <c r="H53" s="8" t="n">
        <v>15.3</v>
      </c>
      <c r="I53" s="8" t="n">
        <v>2</v>
      </c>
      <c r="J53" s="8" t="n">
        <v>2</v>
      </c>
      <c r="K53" s="8" t="n">
        <v>2</v>
      </c>
      <c r="L53" s="8" t="n">
        <v>2</v>
      </c>
      <c r="M53" s="8" t="n">
        <v>2</v>
      </c>
      <c r="N53" s="8" t="n">
        <v>0</v>
      </c>
      <c r="O53" s="8" t="n">
        <v>2</v>
      </c>
      <c r="P53" s="8" t="n">
        <v>2</v>
      </c>
      <c r="Q53" s="8" t="n">
        <v>1</v>
      </c>
      <c r="R53" s="8" t="n">
        <v>1</v>
      </c>
      <c r="S53" s="8" t="n">
        <v>1</v>
      </c>
      <c r="T53" s="8" t="n">
        <v>1</v>
      </c>
      <c r="U53" s="8" t="n">
        <v>1</v>
      </c>
      <c r="V53" s="8" t="n">
        <v>0</v>
      </c>
      <c r="W53" s="8" t="n">
        <v>1</v>
      </c>
      <c r="X53" s="8" t="n">
        <v>1</v>
      </c>
      <c r="Y53" s="8" t="n">
        <v>3</v>
      </c>
      <c r="Z53" s="8" t="n">
        <v>3</v>
      </c>
      <c r="AA53" s="8" t="n">
        <v>3</v>
      </c>
      <c r="AB53" s="8" t="n">
        <v>3</v>
      </c>
      <c r="AC53" s="8" t="n">
        <v>3</v>
      </c>
      <c r="AD53" s="8" t="n">
        <v>0</v>
      </c>
      <c r="AE53" s="8" t="n">
        <v>3</v>
      </c>
      <c r="AF53" s="8" t="n">
        <v>3</v>
      </c>
      <c r="AG53" s="8" t="n">
        <v>3</v>
      </c>
      <c r="AH53" s="8" t="n">
        <v>3</v>
      </c>
      <c r="AI53" s="8" t="n">
        <v>3</v>
      </c>
      <c r="AJ53" s="8" t="n">
        <v>0</v>
      </c>
    </row>
    <row r="54" customFormat="false" ht="15" hidden="false" customHeight="false" outlineLevel="0" collapsed="false">
      <c r="A54" s="11" t="s">
        <v>127</v>
      </c>
      <c r="B54" s="8" t="s">
        <v>130</v>
      </c>
      <c r="C54" s="8" t="s">
        <v>131</v>
      </c>
      <c r="D54" s="8"/>
      <c r="E54" s="8" t="n">
        <v>0</v>
      </c>
      <c r="F54" s="8" t="n">
        <v>4</v>
      </c>
      <c r="G54" s="8" t="n">
        <v>0</v>
      </c>
      <c r="H54" s="8" t="n">
        <v>17</v>
      </c>
      <c r="I54" s="8" t="n">
        <v>1</v>
      </c>
      <c r="J54" s="8" t="n">
        <v>1</v>
      </c>
      <c r="K54" s="8" t="n">
        <v>1</v>
      </c>
      <c r="L54" s="8" t="n">
        <v>1</v>
      </c>
      <c r="M54" s="8" t="n">
        <v>1</v>
      </c>
      <c r="N54" s="8" t="n">
        <v>0</v>
      </c>
      <c r="O54" s="8" t="n">
        <v>1</v>
      </c>
      <c r="P54" s="8" t="n">
        <v>1</v>
      </c>
      <c r="Q54" s="8" t="n">
        <v>0</v>
      </c>
      <c r="R54" s="8" t="n">
        <v>0</v>
      </c>
      <c r="S54" s="8" t="n">
        <v>0</v>
      </c>
      <c r="T54" s="8" t="n">
        <v>0</v>
      </c>
      <c r="U54" s="8" t="n">
        <v>0</v>
      </c>
      <c r="V54" s="8" t="n">
        <v>0</v>
      </c>
      <c r="W54" s="8" t="n">
        <v>0</v>
      </c>
      <c r="X54" s="8" t="n">
        <v>0</v>
      </c>
      <c r="Y54" s="8" t="n">
        <v>3</v>
      </c>
      <c r="Z54" s="8" t="n">
        <v>3</v>
      </c>
      <c r="AA54" s="8" t="n">
        <v>3</v>
      </c>
      <c r="AB54" s="8" t="n">
        <v>3</v>
      </c>
      <c r="AC54" s="8" t="n">
        <v>3</v>
      </c>
      <c r="AD54" s="8" t="n">
        <v>0</v>
      </c>
      <c r="AE54" s="8" t="n">
        <v>3</v>
      </c>
      <c r="AF54" s="8" t="n">
        <v>3</v>
      </c>
      <c r="AG54" s="8" t="n">
        <v>1</v>
      </c>
      <c r="AH54" s="8" t="n">
        <v>1</v>
      </c>
      <c r="AI54" s="8" t="n">
        <v>1</v>
      </c>
      <c r="AJ54" s="8" t="n">
        <v>0</v>
      </c>
    </row>
    <row r="55" customFormat="false" ht="15" hidden="false" customHeight="false" outlineLevel="0" collapsed="false">
      <c r="A55" s="11" t="s">
        <v>127</v>
      </c>
      <c r="B55" s="8" t="s">
        <v>132</v>
      </c>
      <c r="C55" s="8" t="s">
        <v>133</v>
      </c>
      <c r="D55" s="8"/>
      <c r="E55" s="8" t="n">
        <v>0</v>
      </c>
      <c r="F55" s="8" t="n">
        <v>4</v>
      </c>
      <c r="G55" s="8" t="n">
        <v>0</v>
      </c>
      <c r="H55" s="8" t="n">
        <v>0.6</v>
      </c>
      <c r="I55" s="8" t="n">
        <v>1</v>
      </c>
      <c r="J55" s="8" t="n">
        <v>1</v>
      </c>
      <c r="K55" s="8" t="n">
        <v>1</v>
      </c>
      <c r="L55" s="8" t="n">
        <v>1</v>
      </c>
      <c r="M55" s="8" t="n">
        <v>1</v>
      </c>
      <c r="N55" s="8" t="n">
        <v>0</v>
      </c>
      <c r="O55" s="8" t="n">
        <v>1</v>
      </c>
      <c r="P55" s="8" t="n">
        <v>1</v>
      </c>
      <c r="Q55" s="8" t="n">
        <v>1</v>
      </c>
      <c r="R55" s="8" t="n">
        <v>1</v>
      </c>
      <c r="S55" s="8" t="n">
        <v>1</v>
      </c>
      <c r="T55" s="8" t="n">
        <v>1</v>
      </c>
      <c r="U55" s="8" t="n">
        <v>1</v>
      </c>
      <c r="V55" s="8" t="n">
        <v>0</v>
      </c>
      <c r="W55" s="8" t="n">
        <v>1</v>
      </c>
      <c r="X55" s="8" t="n">
        <v>1</v>
      </c>
      <c r="Y55" s="8" t="n">
        <v>2</v>
      </c>
      <c r="Z55" s="8" t="n">
        <v>2</v>
      </c>
      <c r="AA55" s="8" t="n">
        <v>2</v>
      </c>
      <c r="AB55" s="8" t="n">
        <v>2</v>
      </c>
      <c r="AC55" s="8" t="n">
        <v>2</v>
      </c>
      <c r="AD55" s="8" t="n">
        <v>0</v>
      </c>
      <c r="AE55" s="8" t="n">
        <v>2</v>
      </c>
      <c r="AF55" s="8" t="n">
        <v>2</v>
      </c>
      <c r="AG55" s="8" t="n">
        <v>2</v>
      </c>
      <c r="AH55" s="8" t="n">
        <v>2</v>
      </c>
      <c r="AI55" s="8" t="n">
        <v>2</v>
      </c>
      <c r="AJ55" s="8"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4" min="3" style="0" width="13"/>
  </cols>
  <sheetData>
    <row r="1" customFormat="false" ht="15" hidden="false" customHeight="false" outlineLevel="0" collapsed="false">
      <c r="A1" s="6" t="s">
        <v>134</v>
      </c>
      <c r="B1" s="6" t="s">
        <v>135</v>
      </c>
      <c r="C1" s="6" t="s">
        <v>24</v>
      </c>
      <c r="D1" s="6" t="s">
        <v>136</v>
      </c>
    </row>
    <row r="2" customFormat="false" ht="15" hidden="false" customHeight="false" outlineLevel="0" collapsed="false">
      <c r="A2" s="7" t="s">
        <v>137</v>
      </c>
      <c r="B2" s="8" t="n">
        <v>1043</v>
      </c>
      <c r="C2" s="8" t="n">
        <v>1043</v>
      </c>
      <c r="D2" s="9" t="n">
        <f aca="false">IFERROR(C2/B2,"")</f>
        <v>1</v>
      </c>
    </row>
    <row r="3" customFormat="false" ht="15" hidden="false" customHeight="false" outlineLevel="0" collapsed="false">
      <c r="A3" s="7" t="s">
        <v>138</v>
      </c>
      <c r="B3" s="8" t="n">
        <v>1598</v>
      </c>
      <c r="C3" s="8" t="n">
        <v>1561</v>
      </c>
      <c r="D3" s="9" t="n">
        <f aca="false">IFERROR(C3/B3,"")</f>
        <v>0.976846057571965</v>
      </c>
    </row>
    <row r="4" customFormat="false" ht="15" hidden="false" customHeight="false" outlineLevel="0" collapsed="false">
      <c r="A4" s="7" t="s">
        <v>139</v>
      </c>
      <c r="B4" s="8" t="n">
        <v>37</v>
      </c>
      <c r="C4" s="8" t="n">
        <v>0</v>
      </c>
      <c r="D4" s="9" t="n">
        <f aca="false">IFERROR(C4/B4,"")</f>
        <v>0</v>
      </c>
    </row>
    <row r="5" customFormat="false" ht="15" hidden="false" customHeight="false" outlineLevel="0" collapsed="false">
      <c r="A5" s="7" t="s">
        <v>140</v>
      </c>
      <c r="B5" s="12" t="n">
        <f aca="false">SUM(B2:B4)</f>
        <v>2678</v>
      </c>
      <c r="C5" s="12" t="n">
        <f aca="false">SUM(C2:C4)</f>
        <v>2604</v>
      </c>
      <c r="D5" s="13" t="n">
        <f aca="false">IFERROR(C5/B5,"")</f>
        <v>0.972367438386856</v>
      </c>
    </row>
    <row r="7" customFormat="false" ht="15" hidden="false" customHeight="false" outlineLevel="0" collapsed="false">
      <c r="A7" s="10" t="s">
        <v>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24"/>
    <col collapsed="false" customWidth="true" hidden="false" outlineLevel="0" max="4" min="4" style="0" width="20"/>
    <col collapsed="false" customWidth="true" hidden="false" outlineLevel="0" max="5" min="5" style="0" width="13"/>
  </cols>
  <sheetData>
    <row r="1" customFormat="false" ht="23.85" hidden="false" customHeight="false" outlineLevel="0" collapsed="false">
      <c r="A1" s="6" t="s">
        <v>18</v>
      </c>
      <c r="B1" s="6" t="s">
        <v>142</v>
      </c>
      <c r="C1" s="6" t="s">
        <v>143</v>
      </c>
      <c r="D1" s="6" t="s">
        <v>144</v>
      </c>
      <c r="E1" s="6" t="s">
        <v>145</v>
      </c>
    </row>
    <row r="2" customFormat="false" ht="15" hidden="false" customHeight="false" outlineLevel="0" collapsed="false">
      <c r="A2" s="7" t="n">
        <v>0</v>
      </c>
      <c r="B2" s="8" t="n">
        <v>350</v>
      </c>
      <c r="C2" s="8" t="n">
        <v>0</v>
      </c>
      <c r="D2" s="8" t="n">
        <v>350</v>
      </c>
      <c r="E2" s="8" t="n">
        <f aca="false">D2-C2</f>
        <v>350</v>
      </c>
    </row>
    <row r="3" customFormat="false" ht="15" hidden="false" customHeight="false" outlineLevel="0" collapsed="false">
      <c r="A3" s="7" t="n">
        <v>50</v>
      </c>
      <c r="B3" s="8" t="n">
        <v>617</v>
      </c>
      <c r="C3" s="8" t="n">
        <v>0</v>
      </c>
      <c r="D3" s="8" t="n">
        <v>617</v>
      </c>
      <c r="E3" s="8" t="n">
        <f aca="false">D3-C3</f>
        <v>617</v>
      </c>
    </row>
    <row r="4" customFormat="false" ht="15" hidden="false" customHeight="false" outlineLevel="0" collapsed="false">
      <c r="A4" s="7" t="n">
        <v>200</v>
      </c>
      <c r="B4" s="8" t="n">
        <v>1014</v>
      </c>
      <c r="C4" s="8" t="n">
        <v>0</v>
      </c>
      <c r="D4" s="8" t="n">
        <v>1014</v>
      </c>
      <c r="E4" s="8" t="n">
        <f aca="false">D4-C4</f>
        <v>1014</v>
      </c>
    </row>
    <row r="5" customFormat="false" ht="15" hidden="false" customHeight="false" outlineLevel="0" collapsed="false">
      <c r="A5" s="7" t="n">
        <v>800</v>
      </c>
      <c r="B5" s="8" t="n">
        <v>1275</v>
      </c>
      <c r="C5" s="8" t="n">
        <v>0</v>
      </c>
      <c r="D5" s="8" t="n">
        <v>1275</v>
      </c>
      <c r="E5" s="8" t="n">
        <f aca="false">D5-C5</f>
        <v>1275</v>
      </c>
    </row>
    <row r="7" customFormat="false" ht="15" hidden="false" customHeight="false" outlineLevel="0" collapsed="false">
      <c r="A7" s="10" t="s">
        <v>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34"/>
  </cols>
  <sheetData>
    <row r="1" customFormat="false" ht="15" hidden="false" customHeight="false" outlineLevel="0" collapsed="false">
      <c r="A1" s="6" t="s">
        <v>147</v>
      </c>
      <c r="B1" s="6" t="s">
        <v>148</v>
      </c>
    </row>
    <row r="2" customFormat="false" ht="15" hidden="false" customHeight="false" outlineLevel="0" collapsed="false">
      <c r="A2" s="7" t="s">
        <v>149</v>
      </c>
      <c r="B2" s="8" t="s">
        <v>150</v>
      </c>
    </row>
    <row r="3" customFormat="false" ht="15" hidden="false" customHeight="false" outlineLevel="0" collapsed="false">
      <c r="A3" s="7" t="s">
        <v>151</v>
      </c>
      <c r="B3" s="8" t="s">
        <v>152</v>
      </c>
    </row>
    <row r="4" customFormat="false" ht="15" hidden="false" customHeight="false" outlineLevel="0" collapsed="false">
      <c r="A4" s="7" t="s">
        <v>153</v>
      </c>
      <c r="B4" s="8" t="s">
        <v>154</v>
      </c>
    </row>
    <row r="5" customFormat="false" ht="15" hidden="false" customHeight="false" outlineLevel="0" collapsed="false">
      <c r="A5" s="7" t="s">
        <v>155</v>
      </c>
      <c r="B5" s="8" t="s">
        <v>156</v>
      </c>
    </row>
    <row r="6" customFormat="false" ht="15" hidden="false" customHeight="false" outlineLevel="0" collapsed="false">
      <c r="A6" s="7" t="s">
        <v>157</v>
      </c>
      <c r="B6" s="8" t="s">
        <v>158</v>
      </c>
    </row>
    <row r="7" customFormat="false" ht="15" hidden="false" customHeight="false" outlineLevel="0" collapsed="false">
      <c r="A7" s="7" t="s">
        <v>159</v>
      </c>
      <c r="B7" s="8" t="s">
        <v>160</v>
      </c>
    </row>
    <row r="8" customFormat="false" ht="15" hidden="false" customHeight="false" outlineLevel="0" collapsed="false">
      <c r="A8" s="7" t="s">
        <v>161</v>
      </c>
      <c r="B8" s="8" t="s">
        <v>162</v>
      </c>
    </row>
    <row r="10" customFormat="false" ht="15" hidden="false" customHeight="false" outlineLevel="0" collapsed="false">
      <c r="A10" s="10" t="s">
        <v>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2026-10-10T19:20:02Z</dcterms:created>
  <dc:creator>openpyxl</dc:creator>
  <dc:description/>
  <dc:language>en-US</dc:language>
  <cp:lastModifiedBy/>
  <dcterms:modified xsi:type="dcterms:W3CDTF">2026-10-10T19:20:02Z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